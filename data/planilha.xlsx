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<sst xmlns="http://schemas.openxmlformats.org/spreadsheetml/2006/main" count="2375" uniqueCount="1553">
  <si>
    <t>Codigo de Validação do Certificado</t>
  </si>
  <si>
    <t>Nome completo do participante</t>
  </si>
  <si>
    <t>Título da Capacitação / Treinamento</t>
  </si>
  <si>
    <t>Carga Horária</t>
  </si>
  <si>
    <t>Data da Capacitação</t>
  </si>
  <si>
    <t>Merged Doc ID</t>
  </si>
  <si>
    <t>Merged Doc URL - Certificado_Capacitação_Prevenção_de_Quedas</t>
  </si>
  <si>
    <t>Link to merged Doc</t>
  </si>
  <si>
    <t>CERT-20250906-214447-6DGV</t>
  </si>
  <si>
    <t>Amanda E. Klein Moraes</t>
  </si>
  <si>
    <t>Importância da Fase Pré-Analítica nos Exames Laboratoriais</t>
  </si>
  <si>
    <t>40 minutos</t>
  </si>
  <si>
    <t>1FhwIRwCfzZvexnqbuxiM510AzpbxWav2</t>
  </si>
  <si>
    <t>https://drive.google.com/file/d/1FhwIRwCfzZvexnqbuxiM510AzpbxWav2/view?usp=drivesdk</t>
  </si>
  <si>
    <t>CERT-20250906-214447-J6LB</t>
  </si>
  <si>
    <t>Ana C. dos Santos</t>
  </si>
  <si>
    <t>1uprS5XdXjtjs606R9WzEQ-WQ9RrgS7G7</t>
  </si>
  <si>
    <t>https://drive.google.com/file/d/1uprS5XdXjtjs606R9WzEQ-WQ9RrgS7G7/view?usp=drivesdk</t>
  </si>
  <si>
    <t>CERT-20250906-214447-KT0G</t>
  </si>
  <si>
    <t>Ana Paula V.</t>
  </si>
  <si>
    <t>1HyBrfLWx2frxpwB9Vce4zFBODTXZA7RM</t>
  </si>
  <si>
    <t>https://drive.google.com/file/d/1HyBrfLWx2frxpwB9Vce4zFBODTXZA7RM/view?usp=drivesdk</t>
  </si>
  <si>
    <t>CERT-20250906-214447-RI9Y</t>
  </si>
  <si>
    <t>Andressa Picoli</t>
  </si>
  <si>
    <t>1ZF5679Of3jK91-RbjduMg6Y8GcBodmDE</t>
  </si>
  <si>
    <t>https://drive.google.com/file/d/1ZF5679Of3jK91-RbjduMg6Y8GcBodmDE/view?usp=drivesdk</t>
  </si>
  <si>
    <t>CERT-20250906-214447-T6QA</t>
  </si>
  <si>
    <t>Bruna Hannada</t>
  </si>
  <si>
    <t>1AgNsC1nBGE8S0ug_9hA8hTqS7L-UVy_y</t>
  </si>
  <si>
    <t>https://drive.google.com/file/d/1AgNsC1nBGE8S0ug_9hA8hTqS7L-UVy_y/view?usp=drivesdk</t>
  </si>
  <si>
    <t>CERT-20250906-214447-5PHK</t>
  </si>
  <si>
    <t>Camila de L. Moraes</t>
  </si>
  <si>
    <t>1-w8rbWWceisk2UreICAOLp8I7m48sIRp</t>
  </si>
  <si>
    <t>https://drive.google.com/file/d/1-w8rbWWceisk2UreICAOLp8I7m48sIRp/view?usp=drivesdk</t>
  </si>
  <si>
    <t>CERT-20250906-214447-T5PZ</t>
  </si>
  <si>
    <t>Caroline Severo</t>
  </si>
  <si>
    <t>18vt4Fzuh0IldHIzXJQoZosQo_QuJe2PB</t>
  </si>
  <si>
    <t>https://drive.google.com/file/d/18vt4Fzuh0IldHIzXJQoZosQo_QuJe2PB/view?usp=drivesdk</t>
  </si>
  <si>
    <t>CERT-20250906-214447-7D20</t>
  </si>
  <si>
    <t>Celiandra F. Oliveira</t>
  </si>
  <si>
    <t>11sCtKHXF1uofNkYuDG_GHDm5D-ClviyN</t>
  </si>
  <si>
    <t>https://drive.google.com/file/d/11sCtKHXF1uofNkYuDG_GHDm5D-ClviyN/view?usp=drivesdk</t>
  </si>
  <si>
    <t>CERT-20250906-214447-ZVOT</t>
  </si>
  <si>
    <t>Cezar Oliveira</t>
  </si>
  <si>
    <t>1XoKIhKrmGcTLW-UrCurxZTgCwdWiM0sz</t>
  </si>
  <si>
    <t>https://drive.google.com/file/d/1XoKIhKrmGcTLW-UrCurxZTgCwdWiM0sz/view?usp=drivesdk</t>
  </si>
  <si>
    <t>CERT-20250906-214447-L61J</t>
  </si>
  <si>
    <t>Daniela dos Santos</t>
  </si>
  <si>
    <t>1J6wQSIhCp7TD44e-T20zr8C-PLzV2Hla</t>
  </si>
  <si>
    <t>https://drive.google.com/file/d/1J6wQSIhCp7TD44e-T20zr8C-PLzV2Hla/view?usp=drivesdk</t>
  </si>
  <si>
    <t>CERT-20250906-214447-LZIX</t>
  </si>
  <si>
    <t>Desirée F. Monteiro</t>
  </si>
  <si>
    <t>1e3TkqR5Acj6Dpe9NXp81yniv_W45YMpX</t>
  </si>
  <si>
    <t>https://drive.google.com/file/d/1e3TkqR5Acj6Dpe9NXp81yniv_W45YMpX/view?usp=drivesdk</t>
  </si>
  <si>
    <t>CERT-20250906-214447-L056</t>
  </si>
  <si>
    <t>Erica Fernandes da Silva</t>
  </si>
  <si>
    <t>1wgLLyEgCesgnXrr5sBek_xST_AbZ34r_</t>
  </si>
  <si>
    <t>https://drive.google.com/file/d/1wgLLyEgCesgnXrr5sBek_xST_AbZ34r_/view?usp=drivesdk</t>
  </si>
  <si>
    <t>CERT-20250906-214447-WFEV</t>
  </si>
  <si>
    <t>Erotildes Bregalda</t>
  </si>
  <si>
    <t>1cwq7k45WPa3EGDDGwj4K_1ZtKC6nSlv2</t>
  </si>
  <si>
    <t>https://drive.google.com/file/d/1cwq7k45WPa3EGDDGwj4K_1ZtKC6nSlv2/view?usp=drivesdk</t>
  </si>
  <si>
    <t>CERT-20250906-214447-YH7T</t>
  </si>
  <si>
    <t>Fabiana da Silva</t>
  </si>
  <si>
    <t>1oYhpShkmaPDwrMSZbDhUISkE_RGGwXa3</t>
  </si>
  <si>
    <t>https://drive.google.com/file/d/1oYhpShkmaPDwrMSZbDhUISkE_RGGwXa3/view?usp=drivesdk</t>
  </si>
  <si>
    <t>CERT-20250906-214447-98HK</t>
  </si>
  <si>
    <t>Fabiane E. N.</t>
  </si>
  <si>
    <t>1IHlkXKRXkHnVFWNQf46KIT8rzGXbT16e</t>
  </si>
  <si>
    <t>https://drive.google.com/file/d/1IHlkXKRXkHnVFWNQf46KIT8rzGXbT16e/view?usp=drivesdk</t>
  </si>
  <si>
    <t>CERT-20250906-214447-FDAP</t>
  </si>
  <si>
    <t>Fernando Dias</t>
  </si>
  <si>
    <t>1cgI8rMJtYGg2xHDOMRl5J9I10zE8oNun</t>
  </si>
  <si>
    <t>https://drive.google.com/file/d/1cgI8rMJtYGg2xHDOMRl5J9I10zE8oNun/view?usp=drivesdk</t>
  </si>
  <si>
    <t>CERT-20250906-214447-Z03Z</t>
  </si>
  <si>
    <t>Gabriel Rocha Blauth</t>
  </si>
  <si>
    <t>1PL1V_7zSli-K8ss3COjhAabwQ5NnOUYv</t>
  </si>
  <si>
    <t>https://drive.google.com/file/d/1PL1V_7zSli-K8ss3COjhAabwQ5NnOUYv/view?usp=drivesdk</t>
  </si>
  <si>
    <t>CERT-20250906-214447-AGYG</t>
  </si>
  <si>
    <t>Giseli Echeverio</t>
  </si>
  <si>
    <t>1WnJPbUmYv8zRUjrex1CMTyAsu3nW8nlx</t>
  </si>
  <si>
    <t>https://drive.google.com/file/d/1WnJPbUmYv8zRUjrex1CMTyAsu3nW8nlx/view?usp=drivesdk</t>
  </si>
  <si>
    <t>CERT-20250906-214447-K8IV</t>
  </si>
  <si>
    <t>Greice O. Siqueira</t>
  </si>
  <si>
    <t>12ccRBjU8odo1YL7SU3E_S-GS46ZSn1hT</t>
  </si>
  <si>
    <t>https://drive.google.com/file/d/12ccRBjU8odo1YL7SU3E_S-GS46ZSn1hT/view?usp=drivesdk</t>
  </si>
  <si>
    <t>CERT-20250906-214447-Q8PH</t>
  </si>
  <si>
    <t>Jeferson Land</t>
  </si>
  <si>
    <t>1iUJqCEN1cowxmLSTGH1mrCi5UZKG5ku7</t>
  </si>
  <si>
    <t>https://drive.google.com/file/d/1iUJqCEN1cowxmLSTGH1mrCi5UZKG5ku7/view?usp=drivesdk</t>
  </si>
  <si>
    <t>CERT-20250906-214447-S63C</t>
  </si>
  <si>
    <t>Jessica Carnini</t>
  </si>
  <si>
    <t>1QBqdXFJwPEtEtIAB_A3fNq1if4Y6xotG</t>
  </si>
  <si>
    <t>https://drive.google.com/file/d/1QBqdXFJwPEtEtIAB_A3fNq1if4Y6xotG/view?usp=drivesdk</t>
  </si>
  <si>
    <t>CERT-20250906-214447-WBMO</t>
  </si>
  <si>
    <t>Karina K. Furtado</t>
  </si>
  <si>
    <t>1tQ00Q5ZA0fNDordlFo3CYb-qOrnp7A_Z</t>
  </si>
  <si>
    <t>https://drive.google.com/file/d/1tQ00Q5ZA0fNDordlFo3CYb-qOrnp7A_Z/view?usp=drivesdk</t>
  </si>
  <si>
    <t>CERT-20250906-214447-27WI</t>
  </si>
  <si>
    <t>Karla P. Cruz</t>
  </si>
  <si>
    <t>1RzvlUjNyTt06snARIK4RDPTxcZRK1pGH</t>
  </si>
  <si>
    <t>https://drive.google.com/file/d/1RzvlUjNyTt06snARIK4RDPTxcZRK1pGH/view?usp=drivesdk</t>
  </si>
  <si>
    <t>CERT-20250906-214447-YPL8</t>
  </si>
  <si>
    <t>Leticia S.</t>
  </si>
  <si>
    <t>1GfyaVUIvEBZWIqb5NVlXLOqlQHyLLg0v</t>
  </si>
  <si>
    <t>https://drive.google.com/file/d/1GfyaVUIvEBZWIqb5NVlXLOqlQHyLLg0v/view?usp=drivesdk</t>
  </si>
  <si>
    <t>CERT-20250906-214447-1YFP</t>
  </si>
  <si>
    <t>Liane Morinelli</t>
  </si>
  <si>
    <t>1pag9kG90EtdNMDLLUvugIb2tCj1mDuj3</t>
  </si>
  <si>
    <t>https://drive.google.com/file/d/1pag9kG90EtdNMDLLUvugIb2tCj1mDuj3/view?usp=drivesdk</t>
  </si>
  <si>
    <t>CERT-20250906-214447-7PSX</t>
  </si>
  <si>
    <t>Luciana Trespach Portos</t>
  </si>
  <si>
    <t>1v8s-lHxA4TtDzrb8txgITbnlohBDb-8J</t>
  </si>
  <si>
    <t>https://drive.google.com/file/d/1v8s-lHxA4TtDzrb8txgITbnlohBDb-8J/view?usp=drivesdk</t>
  </si>
  <si>
    <t>CERT-20250906-214447-YY5H</t>
  </si>
  <si>
    <t>Lurdes R. B.</t>
  </si>
  <si>
    <t>1cMqaXRE-sDKQn-KSifrxduVplEiEcouc</t>
  </si>
  <si>
    <t>https://drive.google.com/file/d/1cMqaXRE-sDKQn-KSifrxduVplEiEcouc/view?usp=drivesdk</t>
  </si>
  <si>
    <t>CERT-20250906-214447-IAUI</t>
  </si>
  <si>
    <t>Marcelo Lumertz</t>
  </si>
  <si>
    <t>1kEtes2x8qkujZGxs3AJBi2iFWOtkGuks</t>
  </si>
  <si>
    <t>https://drive.google.com/file/d/1kEtes2x8qkujZGxs3AJBi2iFWOtkGuks/view?usp=drivesdk</t>
  </si>
  <si>
    <t>CERT-20250906-214447-L48D</t>
  </si>
  <si>
    <t>Maria Regina Ferreira</t>
  </si>
  <si>
    <t>1Wze1b4zGTg9GDEoN7RsepKv5f7543RMd</t>
  </si>
  <si>
    <t>https://drive.google.com/file/d/1Wze1b4zGTg9GDEoN7RsepKv5f7543RMd/view?usp=drivesdk</t>
  </si>
  <si>
    <t>CERT-20250906-214447-8337</t>
  </si>
  <si>
    <t>Mariane do S. S Teixeira</t>
  </si>
  <si>
    <t>1-l7yW1KA1ETNEAoI2Dp5UNk_8bG-V-_S</t>
  </si>
  <si>
    <t>https://drive.google.com/file/d/1-l7yW1KA1ETNEAoI2Dp5UNk_8bG-V-_S/view?usp=drivesdk</t>
  </si>
  <si>
    <t>CERT-20250906-214447-0ZJ0</t>
  </si>
  <si>
    <t>Mirna de Carvalho</t>
  </si>
  <si>
    <t>1utxrhzpd-V2_vzz25daEkpyH66qoZols</t>
  </si>
  <si>
    <t>https://drive.google.com/file/d/1utxrhzpd-V2_vzz25daEkpyH66qoZols/view?usp=drivesdk</t>
  </si>
  <si>
    <t>CERT-20250906-214447-Y95R</t>
  </si>
  <si>
    <t>Neusa M. Souza</t>
  </si>
  <si>
    <t>1_bXPiAKnpwVobaKFmgrsFfIWrgsT4quL</t>
  </si>
  <si>
    <t>https://drive.google.com/file/d/1_bXPiAKnpwVobaKFmgrsFfIWrgsT4quL/view?usp=drivesdk</t>
  </si>
  <si>
    <t>CERT-20250906-214447-5IYG</t>
  </si>
  <si>
    <t>Priscila G. Xavier</t>
  </si>
  <si>
    <t>1hir9Yes82c3FI0gnd_6ZAC2u0OUuxIJD</t>
  </si>
  <si>
    <t>https://drive.google.com/file/d/1hir9Yes82c3FI0gnd_6ZAC2u0OUuxIJD/view?usp=drivesdk</t>
  </si>
  <si>
    <t>CERT-20250906-214447-00LE</t>
  </si>
  <si>
    <t>Quetlen Silva</t>
  </si>
  <si>
    <t>1EAO7-xCai8ltCAxCJlmlGfaQw6K23lo5</t>
  </si>
  <si>
    <t>https://drive.google.com/file/d/1EAO7-xCai8ltCAxCJlmlGfaQw6K23lo5/view?usp=drivesdk</t>
  </si>
  <si>
    <t>CERT-20250906-214447-FZLL</t>
  </si>
  <si>
    <t>Roselcler de Oliveira Carrion</t>
  </si>
  <si>
    <t>1natuoyV_9VZ4huFe56JuRQrcIeqfujRA</t>
  </si>
  <si>
    <t>https://drive.google.com/file/d/1natuoyV_9VZ4huFe56JuRQrcIeqfujRA/view?usp=drivesdk</t>
  </si>
  <si>
    <t>CERT-20250906-214447-5U41</t>
  </si>
  <si>
    <t>Roseli Klein</t>
  </si>
  <si>
    <t>1UOPGxUEqif6FjhOKDkFi2XBqhG-MvcDV</t>
  </si>
  <si>
    <t>https://drive.google.com/file/d/1UOPGxUEqif6FjhOKDkFi2XBqhG-MvcDV/view?usp=drivesdk</t>
  </si>
  <si>
    <t>CERT-20250906-214447-G67D</t>
  </si>
  <si>
    <t>Valdair Paula C.</t>
  </si>
  <si>
    <t>1TkI3JVHKsGpFP9pO0ppJoVxAm0VIHzIx</t>
  </si>
  <si>
    <t>https://drive.google.com/file/d/1TkI3JVHKsGpFP9pO0ppJoVxAm0VIHzIx/view?usp=drivesdk</t>
  </si>
  <si>
    <t>CERT-20250906-214447-F8MS</t>
  </si>
  <si>
    <t>Vanessa da Rosa Soares</t>
  </si>
  <si>
    <t>11qr8FOM1aTr2LiwL6DOZP1AiJ5Buv27N</t>
  </si>
  <si>
    <t>https://drive.google.com/file/d/11qr8FOM1aTr2LiwL6DOZP1AiJ5Buv27N/view?usp=drivesdk</t>
  </si>
  <si>
    <t>CERT-20250906-214447-M6WZ</t>
  </si>
  <si>
    <t>Victor Hugo Matos de Paula</t>
  </si>
  <si>
    <t>1PkROsBP-SiKHyulex0X7wXEpSX8XQRuh</t>
  </si>
  <si>
    <t>https://drive.google.com/file/d/1PkROsBP-SiKHyulex0X7wXEpSX8XQRuh/view?usp=drivesdk</t>
  </si>
  <si>
    <t>CERT-20250906-222447-8CV4</t>
  </si>
  <si>
    <t>Amanda Ebone Pinheiro</t>
  </si>
  <si>
    <t>Atualização em Curativos Especiais</t>
  </si>
  <si>
    <t>1 hora</t>
  </si>
  <si>
    <t>13Ov1u66CsJAKaXm_F_mZEMPr0Q0kCaEj</t>
  </si>
  <si>
    <t>https://drive.google.com/file/d/13Ov1u66CsJAKaXm_F_mZEMPr0Q0kCaEj/view?usp=drivesdk</t>
  </si>
  <si>
    <t>CERT-20250906-222447-4O1O</t>
  </si>
  <si>
    <t>Ana Cristina dos Santos</t>
  </si>
  <si>
    <t>1eOUXo-CaMFOLhfQA9CPWSd4WijcEvf7S</t>
  </si>
  <si>
    <t>https://drive.google.com/file/d/1eOUXo-CaMFOLhfQA9CPWSd4WijcEvf7S/view?usp=drivesdk</t>
  </si>
  <si>
    <t>CERT-20250906-222447-GEN5</t>
  </si>
  <si>
    <t>Angelita Rocha Comfo</t>
  </si>
  <si>
    <t>106yN0AVsFaRZZTGsIW7vkzbnHU__ic1B</t>
  </si>
  <si>
    <t>https://drive.google.com/file/d/106yN0AVsFaRZZTGsIW7vkzbnHU__ic1B/view?usp=drivesdk</t>
  </si>
  <si>
    <t>CERT-20250906-222447-SQMP</t>
  </si>
  <si>
    <t>Cintia Boeira da Silva</t>
  </si>
  <si>
    <t>18JHFI0lOKa00R06zXoX-SD3SJvHE30p9</t>
  </si>
  <si>
    <t>https://drive.google.com/file/d/18JHFI0lOKa00R06zXoX-SD3SJvHE30p9/view?usp=drivesdk</t>
  </si>
  <si>
    <t>CERT-20250906-222447-4WQW</t>
  </si>
  <si>
    <t>Danela do S. Ferreira</t>
  </si>
  <si>
    <t>1Rrss4JB0V4n9YzZ_xW_I5zmPnez0onks</t>
  </si>
  <si>
    <t>https://drive.google.com/file/d/1Rrss4JB0V4n9YzZ_xW_I5zmPnez0onks/view?usp=drivesdk</t>
  </si>
  <si>
    <t>CERT-20250906-222447-E6SQ</t>
  </si>
  <si>
    <t>Daniela Moraes Martins</t>
  </si>
  <si>
    <t>1Sjn8ngl9ppDbrDqDe5k2kmwoQLpIZk6N</t>
  </si>
  <si>
    <t>https://drive.google.com/file/d/1Sjn8ngl9ppDbrDqDe5k2kmwoQLpIZk6N/view?usp=drivesdk</t>
  </si>
  <si>
    <t>CERT-20250906-222447-P92D</t>
  </si>
  <si>
    <t>Débora R. Duarte</t>
  </si>
  <si>
    <t>1TdcuBx6C65IQJeGS_T9QXwfTMDl6OYgE</t>
  </si>
  <si>
    <t>https://drive.google.com/file/d/1TdcuBx6C65IQJeGS_T9QXwfTMDl6OYgE/view?usp=drivesdk</t>
  </si>
  <si>
    <t>CERT-20250906-222447-3E6P</t>
  </si>
  <si>
    <t>Eduardo F. O. Freitas</t>
  </si>
  <si>
    <t>1UdW1RthgQLSQ4M3NJw6wR9a-dCBRvl2s</t>
  </si>
  <si>
    <t>https://drive.google.com/file/d/1UdW1RthgQLSQ4M3NJw6wR9a-dCBRvl2s/view?usp=drivesdk</t>
  </si>
  <si>
    <t>CERT-20250906-222447-2KKU</t>
  </si>
  <si>
    <t>Evelise Pereira Conde</t>
  </si>
  <si>
    <t>1VthwbV0caVL53MmMFefInjDd4mTYukgQ</t>
  </si>
  <si>
    <t>https://drive.google.com/file/d/1VthwbV0caVL53MmMFefInjDd4mTYukgQ/view?usp=drivesdk</t>
  </si>
  <si>
    <t>CERT-20250906-222447-XL9V</t>
  </si>
  <si>
    <t>Gimeni P. Carvalho</t>
  </si>
  <si>
    <t>1bD7uO7ES7nDCvgRcMCXdlnsOjLg8upto</t>
  </si>
  <si>
    <t>https://drive.google.com/file/d/1bD7uO7ES7nDCvgRcMCXdlnsOjLg8upto/view?usp=drivesdk</t>
  </si>
  <si>
    <t>CERT-20250906-222447-QS39</t>
  </si>
  <si>
    <t>Giovanna K. de Matos Andrejini</t>
  </si>
  <si>
    <t>19myzHN1UJG4BewxLf7DpU2AJlDRT7dqY</t>
  </si>
  <si>
    <t>https://drive.google.com/file/d/19myzHN1UJG4BewxLf7DpU2AJlDRT7dqY/view?usp=drivesdk</t>
  </si>
  <si>
    <t>CERT-20250906-222447-SYNE</t>
  </si>
  <si>
    <t>Jose Sergio do Santos Burlon</t>
  </si>
  <si>
    <t>1oFYdmPaJvHC3W9mXau1qkAeA33wqgbpz</t>
  </si>
  <si>
    <t>https://drive.google.com/file/d/1oFYdmPaJvHC3W9mXau1qkAeA33wqgbpz/view?usp=drivesdk</t>
  </si>
  <si>
    <t>CERT-20250906-222447-FG2S</t>
  </si>
  <si>
    <t>Júlia Camily Vieira Moraes</t>
  </si>
  <si>
    <t>1g3_7HpKORFwXf95v_3S9156iwtd9jg1P</t>
  </si>
  <si>
    <t>https://drive.google.com/file/d/1g3_7HpKORFwXf95v_3S9156iwtd9jg1P/view?usp=drivesdk</t>
  </si>
  <si>
    <t>CERT-20250906-222447-97DS</t>
  </si>
  <si>
    <t>Letícia Navarro Ferreira</t>
  </si>
  <si>
    <t>1gevsT8NjY-C9Ip11hhNP5wuyAmKb-2sO</t>
  </si>
  <si>
    <t>https://drive.google.com/file/d/1gevsT8NjY-C9Ip11hhNP5wuyAmKb-2sO/view?usp=drivesdk</t>
  </si>
  <si>
    <t>CERT-20250906-222447-YJJ7</t>
  </si>
  <si>
    <t>Mario Nei Ferreira</t>
  </si>
  <si>
    <t>1emPouehjedX8QRlBvBaeohoom-D2stLI</t>
  </si>
  <si>
    <t>https://drive.google.com/file/d/1emPouehjedX8QRlBvBaeohoom-D2stLI/view?usp=drivesdk</t>
  </si>
  <si>
    <t>CERT-20250906-222447-UDZT</t>
  </si>
  <si>
    <t>Marli F. do Amaral</t>
  </si>
  <si>
    <t>1S-3YFmQvNt3hApvkxVSVoSzZ1l2d4Y3a</t>
  </si>
  <si>
    <t>https://drive.google.com/file/d/1S-3YFmQvNt3hApvkxVSVoSzZ1l2d4Y3a/view?usp=drivesdk</t>
  </si>
  <si>
    <t>CERT-20250906-222447-33Y9</t>
  </si>
  <si>
    <t>Renata Patricia Pereira</t>
  </si>
  <si>
    <t>1Rl4z-lcK-6TFBEaRKCA4l4gJhm4d00w_</t>
  </si>
  <si>
    <t>https://drive.google.com/file/d/1Rl4z-lcK-6TFBEaRKCA4l4gJhm4d00w_/view?usp=drivesdk</t>
  </si>
  <si>
    <t>CERT-20250906-222447-39IP</t>
  </si>
  <si>
    <t>Sheila Ferreira Gama</t>
  </si>
  <si>
    <t>1UAsfzIeonqXi0Ce95vcr4M_UPlKOht7z</t>
  </si>
  <si>
    <t>https://drive.google.com/file/d/1UAsfzIeonqXi0Ce95vcr4M_UPlKOht7z/view?usp=drivesdk</t>
  </si>
  <si>
    <t>CERT-20250906-222447-IJVU</t>
  </si>
  <si>
    <t>Sônia N. Couto</t>
  </si>
  <si>
    <t>1SwRkUMORkNXL51BBnDlvy9HTDijboU56</t>
  </si>
  <si>
    <t>https://drive.google.com/file/d/1SwRkUMORkNXL51BBnDlvy9HTDijboU56/view?usp=drivesdk</t>
  </si>
  <si>
    <t>CERT-20250906-222447-SDSU</t>
  </si>
  <si>
    <t>Tania de L. a Vargas</t>
  </si>
  <si>
    <t>1A9yGIWJ_wtzVrne5bKvCQ9ElZb_yLbh8</t>
  </si>
  <si>
    <t>https://drive.google.com/file/d/1A9yGIWJ_wtzVrne5bKvCQ9ElZb_yLbh8/view?usp=drivesdk</t>
  </si>
  <si>
    <t>CERT-20250906-222447-RAY6</t>
  </si>
  <si>
    <t>Vera Regina da S. Sidrez</t>
  </si>
  <si>
    <t>1Xmakd3YOGicoWxurPzbKiRqQrHspLRAu</t>
  </si>
  <si>
    <t>https://drive.google.com/file/d/1Xmakd3YOGicoWxurPzbKiRqQrHspLRAu/view?usp=drivesdk</t>
  </si>
  <si>
    <t>CERT-20250906-222447-I9P5</t>
  </si>
  <si>
    <t>Virginia Teresinha Ferreira Cioffi</t>
  </si>
  <si>
    <t>1rK1mHhoHGoe4Ktg849Nkk1YVVWrF6wqn</t>
  </si>
  <si>
    <t>https://drive.google.com/file/d/1rK1mHhoHGoe4Ktg849Nkk1YVVWrF6wqn/view?usp=drivesdk</t>
  </si>
  <si>
    <t>CERT-20250908-173534-KEDG</t>
  </si>
  <si>
    <t>Luciana Alves</t>
  </si>
  <si>
    <t>Treinamento de Consistência de Espessantes para Copeiras</t>
  </si>
  <si>
    <t>1-hUqPhb2vt96wyn5-aJgGVVXlz9Jbu7C</t>
  </si>
  <si>
    <t>https://drive.google.com/file/d/1-hUqPhb2vt96wyn5-aJgGVVXlz9Jbu7C/view?usp=drivesdk</t>
  </si>
  <si>
    <t>CERT-20250908-173534-3IT7</t>
  </si>
  <si>
    <t>Carla Juliana Melo</t>
  </si>
  <si>
    <t>14IVpg-C43bou7h-_Xe9ojQ1wL7kqhrkZ</t>
  </si>
  <si>
    <t>https://drive.google.com/file/d/14IVpg-C43bou7h-_Xe9ojQ1wL7kqhrkZ/view?usp=drivesdk</t>
  </si>
  <si>
    <t>CERT-20250908-173534-A62W</t>
  </si>
  <si>
    <t>Yoseimar Escobar</t>
  </si>
  <si>
    <t>1YmoOiOxxRSpbil-JCjFlJvXIF9uIjwqk</t>
  </si>
  <si>
    <t>https://drive.google.com/file/d/1YmoOiOxxRSpbil-JCjFlJvXIF9uIjwqk/view?usp=drivesdk</t>
  </si>
  <si>
    <t>CERT-20250908-173534-3WO0</t>
  </si>
  <si>
    <t>Elaine H. de Oliveira</t>
  </si>
  <si>
    <t>1C9qLt1hHfaXhiBBOQx5JcoO8ha3dhcV1</t>
  </si>
  <si>
    <t>https://drive.google.com/file/d/1C9qLt1hHfaXhiBBOQx5JcoO8ha3dhcV1/view?usp=drivesdk</t>
  </si>
  <si>
    <t>CERT-20250908-173534-WRH4</t>
  </si>
  <si>
    <t>Angelita K. de Sá</t>
  </si>
  <si>
    <t>1tVH-5KvM9CqAaMPXeW7v5jrx07KaReiA</t>
  </si>
  <si>
    <t>https://drive.google.com/file/d/1tVH-5KvM9CqAaMPXeW7v5jrx07KaReiA/view?usp=drivesdk</t>
  </si>
  <si>
    <t>CERT-20250908-173534-PY4A</t>
  </si>
  <si>
    <t>Suellen B. de Souza</t>
  </si>
  <si>
    <t>1DpxekTaepVodBrjCShEvibbvXb5ylUWV</t>
  </si>
  <si>
    <t>https://drive.google.com/file/d/1DpxekTaepVodBrjCShEvibbvXb5ylUWV/view?usp=drivesdk</t>
  </si>
  <si>
    <t>CERT-20250908-173534-BOOA</t>
  </si>
  <si>
    <t>Kassiane de Carvalho Silva</t>
  </si>
  <si>
    <t>1cfu79rHqYBVEDJ4EeIyOXKIpqVRTlEfy</t>
  </si>
  <si>
    <t>https://drive.google.com/file/d/1cfu79rHqYBVEDJ4EeIyOXKIpqVRTlEfy/view?usp=drivesdk</t>
  </si>
  <si>
    <t>CERT-20250908-173534-PXND</t>
  </si>
  <si>
    <t>Mari Milene de G. Gonçalves</t>
  </si>
  <si>
    <t>1cpW-sEtFrKQgSWm36uitCl1ndJN31xcj</t>
  </si>
  <si>
    <t>https://drive.google.com/file/d/1cpW-sEtFrKQgSWm36uitCl1ndJN31xcj/view?usp=drivesdk</t>
  </si>
  <si>
    <t>CERT-20250908-173534-7TP8</t>
  </si>
  <si>
    <t>Jéssica S. Flores</t>
  </si>
  <si>
    <t>1atZFdCaUAXO8LEQRI0hsplVZGj3WDoUZ</t>
  </si>
  <si>
    <t>https://drive.google.com/file/d/1atZFdCaUAXO8LEQRI0hsplVZGj3WDoUZ/view?usp=drivesdk</t>
  </si>
  <si>
    <t>CERT-20250908-173534-2WAA</t>
  </si>
  <si>
    <t>Kharolen N. G. Pacheco</t>
  </si>
  <si>
    <t>1ZanqX_UccyAt0aZxY4vJQxqFWlOnVl55</t>
  </si>
  <si>
    <t>https://drive.google.com/file/d/1ZanqX_UccyAt0aZxY4vJQxqFWlOnVl55/view?usp=drivesdk</t>
  </si>
  <si>
    <t>CERT-20250908-173534-KIVR</t>
  </si>
  <si>
    <t>Joice Borba</t>
  </si>
  <si>
    <t>1FWS_917g12pKRxKqSAH0oZKW3HXz8llg</t>
  </si>
  <si>
    <t>https://drive.google.com/file/d/1FWS_917g12pKRxKqSAH0oZKW3HXz8llg/view?usp=drivesdk</t>
  </si>
  <si>
    <t>CERT-20250908-173534-NAPB</t>
  </si>
  <si>
    <t>Niandra dos Santos</t>
  </si>
  <si>
    <t>1Xump-vb_8Y0csLIyUMTWGSk0tPrFCmLv</t>
  </si>
  <si>
    <t>https://drive.google.com/file/d/1Xump-vb_8Y0csLIyUMTWGSk0tPrFCmLv/view?usp=drivesdk</t>
  </si>
  <si>
    <t>CERT-20250908-173534-88ZE</t>
  </si>
  <si>
    <t>Alanis de Jesus Teixeira</t>
  </si>
  <si>
    <t>1ck-Ad11MAPVJIeYU6zBFJW6_DUlED9LG</t>
  </si>
  <si>
    <t>https://drive.google.com/file/d/1ck-Ad11MAPVJIeYU6zBFJW6_DUlED9LG/view?usp=drivesdk</t>
  </si>
  <si>
    <t>CERT-20250908-173534-DF82</t>
  </si>
  <si>
    <t>Susana Pinto da Silva</t>
  </si>
  <si>
    <t>1XRG9QwTb93QqzvR-e-_RtRvKC70vO4U9</t>
  </si>
  <si>
    <t>https://drive.google.com/file/d/1XRG9QwTb93QqzvR-e-_RtRvKC70vO4U9/view?usp=drivesdk</t>
  </si>
  <si>
    <t>CERT-20250908-173534-RWZ8</t>
  </si>
  <si>
    <t>Natália dos S. Serra</t>
  </si>
  <si>
    <t>1GJ1dTm_4B-pt7RRvILGvlnEuOm0MJAB6</t>
  </si>
  <si>
    <t>https://drive.google.com/file/d/1GJ1dTm_4B-pt7RRvILGvlnEuOm0MJAB6/view?usp=drivesdk</t>
  </si>
  <si>
    <t>CERT-20250908-173534-NSHF</t>
  </si>
  <si>
    <t>Gianne Gabriela Nunes Dias</t>
  </si>
  <si>
    <t>1mLWPJfZSZbX6hutCMTajszSCAEYebrx7</t>
  </si>
  <si>
    <t>https://drive.google.com/file/d/1mLWPJfZSZbX6hutCMTajszSCAEYebrx7/view?usp=drivesdk</t>
  </si>
  <si>
    <t>CERT-20250908-173534-QB13</t>
  </si>
  <si>
    <t>Gabriela Alves</t>
  </si>
  <si>
    <t>1xs8a7y1FhXVVS3nMjRazQ57Oo9AzDE7Q</t>
  </si>
  <si>
    <t>https://drive.google.com/file/d/1xs8a7y1FhXVVS3nMjRazQ57Oo9AzDE7Q/view?usp=drivesdk</t>
  </si>
  <si>
    <t>CERT-20250908-173534-EGMT</t>
  </si>
  <si>
    <t>Luciane Pipper</t>
  </si>
  <si>
    <t>1uUwo46Cpy800HJ7Nw3rpFQEk1szt9dJI</t>
  </si>
  <si>
    <t>https://drive.google.com/file/d/1uUwo46Cpy800HJ7Nw3rpFQEk1szt9dJI/view?usp=drivesdk</t>
  </si>
  <si>
    <t>CERT-20250908-173534-864E</t>
  </si>
  <si>
    <t>Camille Vitoria Alves Costa</t>
  </si>
  <si>
    <t>1dYZMI9xlPqYhPMgiZdmZkUAS24sz6dk-</t>
  </si>
  <si>
    <t>https://drive.google.com/file/d/1dYZMI9xlPqYhPMgiZdmZkUAS24sz6dk-/view?usp=drivesdk</t>
  </si>
  <si>
    <t>CERT-20250908-173534-6C3K</t>
  </si>
  <si>
    <t>Marister Gonçalves</t>
  </si>
  <si>
    <t>1fURfKC58majiap5vrrsU8jCMeIjVH_mg</t>
  </si>
  <si>
    <t>https://drive.google.com/file/d/1fURfKC58majiap5vrrsU8jCMeIjVH_mg/view?usp=drivesdk</t>
  </si>
  <si>
    <t>CERT-20250908-173534-Z2RO</t>
  </si>
  <si>
    <t>Genesis Romero</t>
  </si>
  <si>
    <t>1dQpNFTllgfGu5dIIjI6Eq8bbocOUnk0H</t>
  </si>
  <si>
    <t>https://drive.google.com/file/d/1dQpNFTllgfGu5dIIjI6Eq8bbocOUnk0H/view?usp=drivesdk</t>
  </si>
  <si>
    <t>CERT-20250908-173534-9AOH</t>
  </si>
  <si>
    <t>Josiane Borba</t>
  </si>
  <si>
    <t>1ML8jce_oPRSj2BIjw07wPdDgDKI9IA7G</t>
  </si>
  <si>
    <t>https://drive.google.com/file/d/1ML8jce_oPRSj2BIjw07wPdDgDKI9IA7G/view?usp=drivesdk</t>
  </si>
  <si>
    <t>CERT-20250908-173534-MGJE</t>
  </si>
  <si>
    <t>Marisol Rodriguez</t>
  </si>
  <si>
    <t>1DU3YM_gsfy1XVWQZTmXZnoBSRIiuCLKF</t>
  </si>
  <si>
    <t>https://drive.google.com/file/d/1DU3YM_gsfy1XVWQZTmXZnoBSRIiuCLKF/view?usp=drivesdk</t>
  </si>
  <si>
    <t>CERT-20250908-173534-MPPI</t>
  </si>
  <si>
    <t>Viosmar Escobar</t>
  </si>
  <si>
    <t>1wD0c64kxKGMRBkGdcKi1nKv1KeT1CK2K</t>
  </si>
  <si>
    <t>https://drive.google.com/file/d/1wD0c64kxKGMRBkGdcKi1nKv1KeT1CK2K/view?usp=drivesdk</t>
  </si>
  <si>
    <t>CERT-20250908-173534-WB3R</t>
  </si>
  <si>
    <t>Mariana dos Santos Santelmo</t>
  </si>
  <si>
    <t>1AyVjoPYw5br_UfR-RrVxxBD94oKK37Mi</t>
  </si>
  <si>
    <t>https://drive.google.com/file/d/1AyVjoPYw5br_UfR-RrVxxBD94oKK37Mi/view?usp=drivesdk</t>
  </si>
  <si>
    <t>CERT-20250908-173534-S1KG</t>
  </si>
  <si>
    <t>Yasmin Konrath</t>
  </si>
  <si>
    <t>1ixQ4G_qDxTM2oI-VYd3UVSUtIdbjNTFf</t>
  </si>
  <si>
    <t>https://drive.google.com/file/d/1ixQ4G_qDxTM2oI-VYd3UVSUtIdbjNTFf/view?usp=drivesdk</t>
  </si>
  <si>
    <t>CERT-20250908-173534-EME3</t>
  </si>
  <si>
    <t>Bruna Bagatini</t>
  </si>
  <si>
    <t>1dT7cHXFSVWwgSMFGukiDiFqHA9f2wbph</t>
  </si>
  <si>
    <t>https://drive.google.com/file/d/1dT7cHXFSVWwgSMFGukiDiFqHA9f2wbph/view?usp=drivesdk</t>
  </si>
  <si>
    <t>CERT-20250908-173534-C7JN</t>
  </si>
  <si>
    <t>Michele Moraes</t>
  </si>
  <si>
    <t>1Al4fbcxKbvMf5IhoOqBFKZxCpDSHKl29</t>
  </si>
  <si>
    <t>https://drive.google.com/file/d/1Al4fbcxKbvMf5IhoOqBFKZxCpDSHKl29/view?usp=drivesdk</t>
  </si>
  <si>
    <t>CERT-20250908-173534-8PZE</t>
  </si>
  <si>
    <t>Mileni V. Beretta</t>
  </si>
  <si>
    <t>1C93GVETxYyxNIgSYzlTNYOi_cZg2iz3m</t>
  </si>
  <si>
    <t>https://drive.google.com/file/d/1C93GVETxYyxNIgSYzlTNYOi_cZg2iz3m/view?usp=drivesdk</t>
  </si>
  <si>
    <t>CERT-20250922-182031-OMYD</t>
  </si>
  <si>
    <t>Alessandro Buzatto de Menezes</t>
  </si>
  <si>
    <t>Aspiração de VAS, TOT e Traqueostomia</t>
  </si>
  <si>
    <t>1bDXgWzB6y29r15MV3oPsCYRjaaKfvrsQ</t>
  </si>
  <si>
    <t>https://drive.google.com/file/d/1bDXgWzB6y29r15MV3oPsCYRjaaKfvrsQ/view?usp=drivesdk</t>
  </si>
  <si>
    <t>CERT-20250922-182031-RW1I</t>
  </si>
  <si>
    <t>Amanda G. Klein Moraes</t>
  </si>
  <si>
    <t>1QoPxh4xwoxEvRhoAWf_Xo9ap6NSuCOpf</t>
  </si>
  <si>
    <t>https://drive.google.com/file/d/1QoPxh4xwoxEvRhoAWf_Xo9ap6NSuCOpf/view?usp=drivesdk</t>
  </si>
  <si>
    <t>CERT-20250922-182031-ZKPN</t>
  </si>
  <si>
    <t>Ana Luiza Pereira</t>
  </si>
  <si>
    <t>1DP9QjipHSOaOxZAYIkGoc--HkbLSie27</t>
  </si>
  <si>
    <t>https://drive.google.com/file/d/1DP9QjipHSOaOxZAYIkGoc--HkbLSie27/view?usp=drivesdk</t>
  </si>
  <si>
    <t>CERT-20250922-182031-WBCM</t>
  </si>
  <si>
    <t>Andressa F. Picoli</t>
  </si>
  <si>
    <t>1CO2bgSjw-2bgK3oGzFnoAK2VbqA_3UJA</t>
  </si>
  <si>
    <t>https://drive.google.com/file/d/1CO2bgSjw-2bgK3oGzFnoAK2VbqA_3UJA/view?usp=drivesdk</t>
  </si>
  <si>
    <t>CERT-20250922-182031-IT7G</t>
  </si>
  <si>
    <t>Antônio P. R. Correa</t>
  </si>
  <si>
    <t>1Gx01g0iStvQ9Jx-51tu5BaM8Umy-oEXV</t>
  </si>
  <si>
    <t>https://drive.google.com/file/d/1Gx01g0iStvQ9Jx-51tu5BaM8Umy-oEXV/view?usp=drivesdk</t>
  </si>
  <si>
    <t>CERT-20250922-182031-DE1Y</t>
  </si>
  <si>
    <t>Bruno de Matos Gardes</t>
  </si>
  <si>
    <t>1aF7pyAnhYdUz6vaHYcWhGK6tWSj_7X_t</t>
  </si>
  <si>
    <t>https://drive.google.com/file/d/1aF7pyAnhYdUz6vaHYcWhGK6tWSj_7X_t/view?usp=drivesdk</t>
  </si>
  <si>
    <t>CERT-20250922-182031-YRKZ</t>
  </si>
  <si>
    <t>Catia Cristina Rocha Silveira</t>
  </si>
  <si>
    <t>1zwRE1jq_NWGi6trLH8ZzkZgm-aNeEnPE</t>
  </si>
  <si>
    <t>https://drive.google.com/file/d/1zwRE1jq_NWGi6trLH8ZzkZgm-aNeEnPE/view?usp=drivesdk</t>
  </si>
  <si>
    <t>CERT-20250922-182031-ZNTK</t>
  </si>
  <si>
    <t>Chaiane T. Santiago França</t>
  </si>
  <si>
    <t>18gn02Fqt5Rm3zoieKhjbTdmaCO0mRu3c</t>
  </si>
  <si>
    <t>https://drive.google.com/file/d/18gn02Fqt5Rm3zoieKhjbTdmaCO0mRu3c/view?usp=drivesdk</t>
  </si>
  <si>
    <t>CERT-20250922-182031-IFWM</t>
  </si>
  <si>
    <t>Cintia Jaqueline Penha de Silva</t>
  </si>
  <si>
    <t>1T0j9HKoq8uUs6sJqn_OQcIKJwRFcRJ0c</t>
  </si>
  <si>
    <t>https://drive.google.com/file/d/1T0j9HKoq8uUs6sJqn_OQcIKJwRFcRJ0c/view?usp=drivesdk</t>
  </si>
  <si>
    <t>CERT-20250922-182031-QWXV</t>
  </si>
  <si>
    <t>Clarice Alfaro</t>
  </si>
  <si>
    <t>1hq3IQLVkITq-3RjLfOmjjG4d2cQWhbtd</t>
  </si>
  <si>
    <t>https://drive.google.com/file/d/1hq3IQLVkITq-3RjLfOmjjG4d2cQWhbtd/view?usp=drivesdk</t>
  </si>
  <si>
    <t>CERT-20250922-182031-GGOJ</t>
  </si>
  <si>
    <t>Claudete Da Rosa Carvalho</t>
  </si>
  <si>
    <t>10SePtPKvtl-_Fly5QvqYret_gntO5M1Z</t>
  </si>
  <si>
    <t>https://drive.google.com/file/d/10SePtPKvtl-_Fly5QvqYret_gntO5M1Z/view?usp=drivesdk</t>
  </si>
  <si>
    <t>CERT-20250922-182031-UYIO</t>
  </si>
  <si>
    <t>Claudia Lindenmeyer</t>
  </si>
  <si>
    <t>1FULWWB6Z8AjvNJ9JbRqiB_gBd_LEMP0v</t>
  </si>
  <si>
    <t>https://drive.google.com/file/d/1FULWWB6Z8AjvNJ9JbRqiB_gBd_LEMP0v/view?usp=drivesdk</t>
  </si>
  <si>
    <t>CERT-20250922-182031-ZYV4</t>
  </si>
  <si>
    <t>Daniela A. Silva</t>
  </si>
  <si>
    <t>1K8OGh-n7Z7hslEgn8IZEdnc8jZHuxGQk</t>
  </si>
  <si>
    <t>https://drive.google.com/file/d/1K8OGh-n7Z7hslEgn8IZEdnc8jZHuxGQk/view?usp=drivesdk</t>
  </si>
  <si>
    <t>CERT-20250922-182031-1IDK</t>
  </si>
  <si>
    <t>1lKHvP4YYh10SbKDeHLpwi6KrZ7LTCDj3</t>
  </si>
  <si>
    <t>https://drive.google.com/file/d/1lKHvP4YYh10SbKDeHLpwi6KrZ7LTCDj3/view?usp=drivesdk</t>
  </si>
  <si>
    <t>CERT-20250922-182031-7VCW</t>
  </si>
  <si>
    <t>Daniele R. Oliveira</t>
  </si>
  <si>
    <t>1hzE_tECp-7YYXsui6Q96JRU6pCbtOWxU</t>
  </si>
  <si>
    <t>https://drive.google.com/file/d/1hzE_tECp-7YYXsui6Q96JRU6pCbtOWxU/view?usp=drivesdk</t>
  </si>
  <si>
    <t>CERT-20250922-182031-H5LH</t>
  </si>
  <si>
    <t>Davi Maschmann</t>
  </si>
  <si>
    <t>1gx1VgR4Rl9dmGBQvU5DINE6UKJkHU_Dl</t>
  </si>
  <si>
    <t>https://drive.google.com/file/d/1gx1VgR4Rl9dmGBQvU5DINE6UKJkHU_Dl/view?usp=drivesdk</t>
  </si>
  <si>
    <t>CERT-20250922-182031-WBFS</t>
  </si>
  <si>
    <t>Débora Stähler de Silva</t>
  </si>
  <si>
    <t>1fV4enekp5liOnEj_HZq73K0BQN7hPiWu</t>
  </si>
  <si>
    <t>https://drive.google.com/file/d/1fV4enekp5liOnEj_HZq73K0BQN7hPiWu/view?usp=drivesdk</t>
  </si>
  <si>
    <t>CERT-20250922-182031-Y0J6</t>
  </si>
  <si>
    <t>Dorval de Lima Ramião</t>
  </si>
  <si>
    <t>1--P1widQFFuOd_9_6W0CdGSpUY0uRU_b</t>
  </si>
  <si>
    <t>https://drive.google.com/file/d/1--P1widQFFuOd_9_6W0CdGSpUY0uRU_b/view?usp=drivesdk</t>
  </si>
  <si>
    <t>CERT-20250922-182031-LJ4H</t>
  </si>
  <si>
    <t>Dyovanna K. de Matos Ardanghi</t>
  </si>
  <si>
    <t>1zQR0LUsC290wv2PEh1wXoiUo8N8mLGFK</t>
  </si>
  <si>
    <t>https://drive.google.com/file/d/1zQR0LUsC290wv2PEh1wXoiUo8N8mLGFK/view?usp=drivesdk</t>
  </si>
  <si>
    <t>CERT-20250922-182031-A1MJ</t>
  </si>
  <si>
    <t>Elendine de Vargas</t>
  </si>
  <si>
    <t>1ZUh9OrGfV9HwwY-2tBsmGaDj_JKOHBps</t>
  </si>
  <si>
    <t>https://drive.google.com/file/d/1ZUh9OrGfV9HwwY-2tBsmGaDj_JKOHBps/view?usp=drivesdk</t>
  </si>
  <si>
    <t>CERT-20250922-182031-WWNN</t>
  </si>
  <si>
    <t>Elisangela Silva Duarte C.O</t>
  </si>
  <si>
    <t>16qjmZnWQYJS7BZOqbq8CXV6Xn1lbehwG</t>
  </si>
  <si>
    <t>https://drive.google.com/file/d/16qjmZnWQYJS7BZOqbq8CXV6Xn1lbehwG/view?usp=drivesdk</t>
  </si>
  <si>
    <t>CERT-20250922-182031-RAU0</t>
  </si>
  <si>
    <t>Fabiane R. H. Bernardino</t>
  </si>
  <si>
    <t>1jd4xdlt0sYsH7kO361bh-HijWGpDhSff</t>
  </si>
  <si>
    <t>https://drive.google.com/file/d/1jd4xdlt0sYsH7kO361bh-HijWGpDhSff/view?usp=drivesdk</t>
  </si>
  <si>
    <t>CERT-20250922-182031-SU9S</t>
  </si>
  <si>
    <t>Gabriela da Souza Ramos</t>
  </si>
  <si>
    <t>1zydLo5sSTtR3QffCinzG3VAKjQwbyMmb</t>
  </si>
  <si>
    <t>https://drive.google.com/file/d/1zydLo5sSTtR3QffCinzG3VAKjQwbyMmb/view?usp=drivesdk</t>
  </si>
  <si>
    <t>CERT-20250922-182031-VVT9</t>
  </si>
  <si>
    <t>1dgQl-gwzSEs7nc0IyWTp2uAhvmfROM28</t>
  </si>
  <si>
    <t>https://drive.google.com/file/d/1dgQl-gwzSEs7nc0IyWTp2uAhvmfROM28/view?usp=drivesdk</t>
  </si>
  <si>
    <t>CERT-20250922-182031-3TYC</t>
  </si>
  <si>
    <t>Grace Graziele Fernandes da Silva</t>
  </si>
  <si>
    <t>1Z6CNsm7-r3kj9g1lZ7knpuK_zzyrIEcg</t>
  </si>
  <si>
    <t>https://drive.google.com/file/d/1Z6CNsm7-r3kj9g1lZ7knpuK_zzyrIEcg/view?usp=drivesdk</t>
  </si>
  <si>
    <t>CERT-20250922-182031-M2SK</t>
  </si>
  <si>
    <t>Jackeline Rodrigues da Silveira</t>
  </si>
  <si>
    <t>1f3WDdRjtLFan74aekbb4v_Dh2CpHRmTr</t>
  </si>
  <si>
    <t>https://drive.google.com/file/d/1f3WDdRjtLFan74aekbb4v_Dh2CpHRmTr/view?usp=drivesdk</t>
  </si>
  <si>
    <t>CERT-20250922-182031-SG8V</t>
  </si>
  <si>
    <t>Jean Ostlin Dreychan</t>
  </si>
  <si>
    <t>1fvc_RIt_EcM7CjjN-tiMq3KtTone3xqy</t>
  </si>
  <si>
    <t>https://drive.google.com/file/d/1fvc_RIt_EcM7CjjN-tiMq3KtTone3xqy/view?usp=drivesdk</t>
  </si>
  <si>
    <t>CERT-20250922-182031-957L</t>
  </si>
  <si>
    <t>Jenifer Oliveira</t>
  </si>
  <si>
    <t>1XZepGbR5qfoNREQsrHeI6c8jKtS4mzBe</t>
  </si>
  <si>
    <t>https://drive.google.com/file/d/1XZepGbR5qfoNREQsrHeI6c8jKtS4mzBe/view?usp=drivesdk</t>
  </si>
  <si>
    <t>CERT-20250922-182031-X4JA</t>
  </si>
  <si>
    <t>Jokebelly Loff Santana</t>
  </si>
  <si>
    <t>1-l5EFPuCW6hON6hDhVd3ZwaIzrC_dQLp</t>
  </si>
  <si>
    <t>https://drive.google.com/file/d/1-l5EFPuCW6hON6hDhVd3ZwaIzrC_dQLp/view?usp=drivesdk</t>
  </si>
  <si>
    <t>CERT-20250922-182031-DX4T</t>
  </si>
  <si>
    <t>Joílson Veiga Farias</t>
  </si>
  <si>
    <t>1EdMMnp9IlGFKLwN_djKM9_RWpuzKN7dw</t>
  </si>
  <si>
    <t>https://drive.google.com/file/d/1EdMMnp9IlGFKLwN_djKM9_RWpuzKN7dw/view?usp=drivesdk</t>
  </si>
  <si>
    <t>CERT-20250922-182031-RWR7</t>
  </si>
  <si>
    <t>Josiane da S. Oliveira</t>
  </si>
  <si>
    <t>1A_mlOg6yzODnDJQwVPep4hjWrK6LkefQ</t>
  </si>
  <si>
    <t>https://drive.google.com/file/d/1A_mlOg6yzODnDJQwVPep4hjWrK6LkefQ/view?usp=drivesdk</t>
  </si>
  <si>
    <t>CERT-20250922-182031-A8O2</t>
  </si>
  <si>
    <t>Juliana da Silva Motta</t>
  </si>
  <si>
    <t>1DK23J-ET74fspj4ubnIeECr5kN85FWxr</t>
  </si>
  <si>
    <t>https://drive.google.com/file/d/1DK23J-ET74fspj4ubnIeECr5kN85FWxr/view?usp=drivesdk</t>
  </si>
  <si>
    <t>CERT-20250922-182031-X7QI</t>
  </si>
  <si>
    <t>Karoline Fontoura Corrêa</t>
  </si>
  <si>
    <t>1NVfA8svMj8pyOJVxF0qJWaMIN89RL8I_</t>
  </si>
  <si>
    <t>https://drive.google.com/file/d/1NVfA8svMj8pyOJVxF0qJWaMIN89RL8I_/view?usp=drivesdk</t>
  </si>
  <si>
    <t>CERT-20250922-182031-3CD7</t>
  </si>
  <si>
    <t>Keli Langhanmer</t>
  </si>
  <si>
    <t>1qrEUsip19B--FkYc2pwZUbgQkl-tZeow</t>
  </si>
  <si>
    <t>https://drive.google.com/file/d/1qrEUsip19B--FkYc2pwZUbgQkl-tZeow/view?usp=drivesdk</t>
  </si>
  <si>
    <t>CERT-20250922-182031-QWGZ</t>
  </si>
  <si>
    <t>Kelly Aline Rodrigues</t>
  </si>
  <si>
    <t>1W9yqiVxfM3Ni0eVlbma1Opv65TsKiYTZ</t>
  </si>
  <si>
    <t>https://drive.google.com/file/d/1W9yqiVxfM3Ni0eVlbma1Opv65TsKiYTZ/view?usp=drivesdk</t>
  </si>
  <si>
    <t>CERT-20250922-182031-1MGL</t>
  </si>
  <si>
    <t>Ledamares Soares Moraes</t>
  </si>
  <si>
    <t>1CVZYIZMj00wghjHoRbrGh23s03-kt6n8</t>
  </si>
  <si>
    <t>https://drive.google.com/file/d/1CVZYIZMj00wghjHoRbrGh23s03-kt6n8/view?usp=drivesdk</t>
  </si>
  <si>
    <t>CERT-20250922-182031-N09K</t>
  </si>
  <si>
    <t>Leni Mayer</t>
  </si>
  <si>
    <t>1eNvAaOIAN64Pdg9YtiQkXIiM079HcE7X</t>
  </si>
  <si>
    <t>https://drive.google.com/file/d/1eNvAaOIAN64Pdg9YtiQkXIiM079HcE7X/view?usp=drivesdk</t>
  </si>
  <si>
    <t>CERT-20250922-182031-VZ65</t>
  </si>
  <si>
    <t>Letícia de Souza</t>
  </si>
  <si>
    <t>13WHlk_j-RzEhXeUe7lwNNKQtwsM0WWJh</t>
  </si>
  <si>
    <t>https://drive.google.com/file/d/13WHlk_j-RzEhXeUe7lwNNKQtwsM0WWJh/view?usp=drivesdk</t>
  </si>
  <si>
    <t>CERT-20250922-182031-W7JJ</t>
  </si>
  <si>
    <t>Lise Mara Lampert</t>
  </si>
  <si>
    <t>1GYmDE88_t4rT1JP9EzWNE6_sSOa_8i0u</t>
  </si>
  <si>
    <t>https://drive.google.com/file/d/1GYmDE88_t4rT1JP9EzWNE6_sSOa_8i0u/view?usp=drivesdk</t>
  </si>
  <si>
    <t>CERT-20250922-182031-SEX2</t>
  </si>
  <si>
    <t>Louise de Cemia Silva Cardoso</t>
  </si>
  <si>
    <t>1DYHYCkPuC1vgwu4NSvcjVxf6OBgwUMr7</t>
  </si>
  <si>
    <t>https://drive.google.com/file/d/1DYHYCkPuC1vgwu4NSvcjVxf6OBgwUMr7/view?usp=drivesdk</t>
  </si>
  <si>
    <t>CERT-20250922-182031-WK6X</t>
  </si>
  <si>
    <t>Luciana Trespach Porto</t>
  </si>
  <si>
    <t>1tozKkfiiNFNdsraAcb195xejFB-rMj6H</t>
  </si>
  <si>
    <t>https://drive.google.com/file/d/1tozKkfiiNFNdsraAcb195xejFB-rMj6H/view?usp=drivesdk</t>
  </si>
  <si>
    <t>CERT-20250922-182031-ISVB</t>
  </si>
  <si>
    <t>Luciana W. Pohlmann</t>
  </si>
  <si>
    <t>1kxMzJLyS3nWVNR-14jY9G-kWWewnB9AO</t>
  </si>
  <si>
    <t>https://drive.google.com/file/d/1kxMzJLyS3nWVNR-14jY9G-kWWewnB9AO/view?usp=drivesdk</t>
  </si>
  <si>
    <t>CERT-20250922-182031-1WU7</t>
  </si>
  <si>
    <t>Magáli do Nascimento</t>
  </si>
  <si>
    <t>1hAA_B1XBu8xld4Fhl5sbF3ANh0LKxCcJ</t>
  </si>
  <si>
    <t>https://drive.google.com/file/d/1hAA_B1XBu8xld4Fhl5sbF3ANh0LKxCcJ/view?usp=drivesdk</t>
  </si>
  <si>
    <t>CERT-20250922-182031-A01O</t>
  </si>
  <si>
    <t>Maiara S. Matos</t>
  </si>
  <si>
    <t>1znzxU7h_yRVlD4rI90uUTgJrboqXpOWI</t>
  </si>
  <si>
    <t>https://drive.google.com/file/d/1znzxU7h_yRVlD4rI90uUTgJrboqXpOWI/view?usp=drivesdk</t>
  </si>
  <si>
    <t>CERT-20250922-182031-1HCO</t>
  </si>
  <si>
    <t>Marli Fernanda do Amaral</t>
  </si>
  <si>
    <t>1tj9SBOE9jq6s70K2GHQ1EUWA0iOgdwwT</t>
  </si>
  <si>
    <t>https://drive.google.com/file/d/1tj9SBOE9jq6s70K2GHQ1EUWA0iOgdwwT/view?usp=drivesdk</t>
  </si>
  <si>
    <t>CERT-20250922-182031-RRG7</t>
  </si>
  <si>
    <t>Mateus Alexandre Nunes Alves</t>
  </si>
  <si>
    <t>1V9iR3f9H6h6W69jf4YG40QtWM5wCEd7B</t>
  </si>
  <si>
    <t>https://drive.google.com/file/d/1V9iR3f9H6h6W69jf4YG40QtWM5wCEd7B/view?usp=drivesdk</t>
  </si>
  <si>
    <t>CERT-20250922-182031-52NS</t>
  </si>
  <si>
    <t>Michele C. M. da Silva</t>
  </si>
  <si>
    <t>1dTvuQ9k_t6rD8ziBrf6Vud5qlXo0oF8a</t>
  </si>
  <si>
    <t>https://drive.google.com/file/d/1dTvuQ9k_t6rD8ziBrf6Vud5qlXo0oF8a/view?usp=drivesdk</t>
  </si>
  <si>
    <t>CERT-20250922-182031-BGCA</t>
  </si>
  <si>
    <t>Micheli Almeida de Couto</t>
  </si>
  <si>
    <t>1sajG3ufP0L_axP3l96e1l_Gsi_SYUnIp</t>
  </si>
  <si>
    <t>https://drive.google.com/file/d/1sajG3ufP0L_axP3l96e1l_Gsi_SYUnIp/view?usp=drivesdk</t>
  </si>
  <si>
    <t>CERT-20250922-182031-7TRI</t>
  </si>
  <si>
    <t>Miriam Madrid</t>
  </si>
  <si>
    <t>1bZ7R2chdjH4qwjuC66n_ODGACdYRbU_e</t>
  </si>
  <si>
    <t>https://drive.google.com/file/d/1bZ7R2chdjH4qwjuC66n_ODGACdYRbU_e/view?usp=drivesdk</t>
  </si>
  <si>
    <t>CERT-20250922-182031-K4XO</t>
  </si>
  <si>
    <t>Mônica da Silva Dulf</t>
  </si>
  <si>
    <t>1AwkSeehj5mFPjHs1TZYNZkJoRZ1T8VbZ</t>
  </si>
  <si>
    <t>https://drive.google.com/file/d/1AwkSeehj5mFPjHs1TZYNZkJoRZ1T8VbZ/view?usp=drivesdk</t>
  </si>
  <si>
    <t>CERT-20250922-182031-LEMI</t>
  </si>
  <si>
    <t>Nádia C. Celmine</t>
  </si>
  <si>
    <t>1tNzIpaB96s7KHgU-LB6YdWFXw2OGXMQ_</t>
  </si>
  <si>
    <t>https://drive.google.com/file/d/1tNzIpaB96s7KHgU-LB6YdWFXw2OGXMQ_/view?usp=drivesdk</t>
  </si>
  <si>
    <t>CERT-20250922-182031-H17I</t>
  </si>
  <si>
    <t>Naglia S. P. Triches</t>
  </si>
  <si>
    <t>1axxnlUo_aOgWkEtO8FZ2tXcMr9ngAbbY</t>
  </si>
  <si>
    <t>https://drive.google.com/file/d/1axxnlUo_aOgWkEtO8FZ2tXcMr9ngAbbY/view?usp=drivesdk</t>
  </si>
  <si>
    <t>CERT-20250922-182031-GUIM</t>
  </si>
  <si>
    <t>Paula Renata Quaresma Land</t>
  </si>
  <si>
    <t>1MHWUKpePdpdUQ8rNkdFlNVQseqziH432</t>
  </si>
  <si>
    <t>https://drive.google.com/file/d/1MHWUKpePdpdUQ8rNkdFlNVQseqziH432/view?usp=drivesdk</t>
  </si>
  <si>
    <t>CERT-20250922-182031-811C</t>
  </si>
  <si>
    <t>Paulo Januario</t>
  </si>
  <si>
    <t>1vihkLpCQGKX7jgEPKscc_KKwLPOoV20V</t>
  </si>
  <si>
    <t>https://drive.google.com/file/d/1vihkLpCQGKX7jgEPKscc_KKwLPOoV20V/view?usp=drivesdk</t>
  </si>
  <si>
    <t>CERT-20250922-182031-YM07</t>
  </si>
  <si>
    <t>Rafael Margarezi</t>
  </si>
  <si>
    <t>1kOwmrtIa3G5fr435ffIO6TwJwvzgYQtw</t>
  </si>
  <si>
    <t>https://drive.google.com/file/d/1kOwmrtIa3G5fr435ffIO6TwJwvzgYQtw/view?usp=drivesdk</t>
  </si>
  <si>
    <t>CERT-20250922-182031-972H</t>
  </si>
  <si>
    <t>Rafaela Flores</t>
  </si>
  <si>
    <t>1Nf4D6mNvp0qlieY3-4FxzqrypsJOIzbV</t>
  </si>
  <si>
    <t>https://drive.google.com/file/d/1Nf4D6mNvp0qlieY3-4FxzqrypsJOIzbV/view?usp=drivesdk</t>
  </si>
  <si>
    <t>CERT-20250922-182031-EQDU</t>
  </si>
  <si>
    <t>Rayra Matos de Oliveira</t>
  </si>
  <si>
    <t>121hnbqfPhPECAI7T94OMyI_0fNh931Yo</t>
  </si>
  <si>
    <t>https://drive.google.com/file/d/121hnbqfPhPECAI7T94OMyI_0fNh931Yo/view?usp=drivesdk</t>
  </si>
  <si>
    <t>CERT-20250922-182031-ZK0T</t>
  </si>
  <si>
    <t>Siane Konflernz</t>
  </si>
  <si>
    <t>1NbdO5wQ5YxTv-9gdfL4nDuQ-1GVB45Q2</t>
  </si>
  <si>
    <t>https://drive.google.com/file/d/1NbdO5wQ5YxTv-9gdfL4nDuQ-1GVB45Q2/view?usp=drivesdk</t>
  </si>
  <si>
    <t>CERT-20250922-182031-H5KJ</t>
  </si>
  <si>
    <t>Suélin Cristina Schuck</t>
  </si>
  <si>
    <t>1CVXMtnvaRbagkxqIlxjHJ-9kP3JK5UXq</t>
  </si>
  <si>
    <t>https://drive.google.com/file/d/1CVXMtnvaRbagkxqIlxjHJ-9kP3JK5UXq/view?usp=drivesdk</t>
  </si>
  <si>
    <t>CERT-20250922-182031-GICF</t>
  </si>
  <si>
    <t>Suzana Pedroso Corrêa</t>
  </si>
  <si>
    <t>1I5rHCcUBmNHjpnJguPIaZbUEqt1RWkTI</t>
  </si>
  <si>
    <t>https://drive.google.com/file/d/1I5rHCcUBmNHjpnJguPIaZbUEqt1RWkTI/view?usp=drivesdk</t>
  </si>
  <si>
    <t>CERT-20250922-182031-U7K5</t>
  </si>
  <si>
    <t>Tania M. Santos Gonçalves</t>
  </si>
  <si>
    <t>1OAwNYtP3vpcgItptbb2LYzYZOqpaMABh</t>
  </si>
  <si>
    <t>https://drive.google.com/file/d/1OAwNYtP3vpcgItptbb2LYzYZOqpaMABh/view?usp=drivesdk</t>
  </si>
  <si>
    <t>CERT-20250922-182031-CYVX</t>
  </si>
  <si>
    <t>Thailine Martins Flores</t>
  </si>
  <si>
    <t>1_UMIv7duslGOYUUXDIQm3wC0ucnGipg6</t>
  </si>
  <si>
    <t>https://drive.google.com/file/d/1_UMIv7duslGOYUUXDIQm3wC0ucnGipg6/view?usp=drivesdk</t>
  </si>
  <si>
    <t>CERT-20250922-182031-5OYG</t>
  </si>
  <si>
    <t>Ubirajara de Paula</t>
  </si>
  <si>
    <t>1jTbhzRnt06UOM0Z5WiLQshQ0iZrK_j-V</t>
  </si>
  <si>
    <t>https://drive.google.com/file/d/1jTbhzRnt06UOM0Z5WiLQshQ0iZrK_j-V/view?usp=drivesdk</t>
  </si>
  <si>
    <t>CERT-20250922-182031-2BL0</t>
  </si>
  <si>
    <t>Vanderleia R. da Silva</t>
  </si>
  <si>
    <t>1Oibhpm3EUNQlYs3zcg9kD5PE8HwF28qP</t>
  </si>
  <si>
    <t>https://drive.google.com/file/d/1Oibhpm3EUNQlYs3zcg9kD5PE8HwF28qP/view?usp=drivesdk</t>
  </si>
  <si>
    <t>CERT-20250922-182031-N0JA</t>
  </si>
  <si>
    <t>Vera Pimenta</t>
  </si>
  <si>
    <t>1sGIrbJ9HqxzMCcVU5T8iwiEmCquIFVj9</t>
  </si>
  <si>
    <t>https://drive.google.com/file/d/1sGIrbJ9HqxzMCcVU5T8iwiEmCquIFVj9/view?usp=drivesdk</t>
  </si>
  <si>
    <t>CERT-20250922-182031-VBH4</t>
  </si>
  <si>
    <t>Verônica Christmann Espinoza Varela</t>
  </si>
  <si>
    <t>1Z8664OMiU_9sR5Gn3VphQSUk8nfzbWoJ</t>
  </si>
  <si>
    <t>https://drive.google.com/file/d/1Z8664OMiU_9sR5Gn3VphQSUk8nfzbWoJ/view?usp=drivesdk</t>
  </si>
  <si>
    <t>CERT-20250922-182031-3EM2</t>
  </si>
  <si>
    <t>Yasmin J. S. Epifaneo</t>
  </si>
  <si>
    <t>1eahqxBHlbw84qoOsZvLXeHO65MUOvQdZ</t>
  </si>
  <si>
    <t>https://drive.google.com/file/d/1eahqxBHlbw84qoOsZvLXeHO65MUOvQdZ/view?usp=drivesdk</t>
  </si>
  <si>
    <t>CERT-20251006-170722-RLKW</t>
  </si>
  <si>
    <t>Declaração de Nascido Vivo (DNV)</t>
  </si>
  <si>
    <t>1mEtBsgl-baJWJOlHoRpVKqd46JEowklK</t>
  </si>
  <si>
    <t>https://drive.google.com/file/d/1mEtBsgl-baJWJOlHoRpVKqd46JEowklK/view?usp=drivesdk</t>
  </si>
  <si>
    <t>CERT-20251006-170722-5OPP</t>
  </si>
  <si>
    <t>Gabriela Madeira Espindola</t>
  </si>
  <si>
    <t>1VsqpwZQkbAMMgtHr1zey0mX8EnbP1m7j</t>
  </si>
  <si>
    <t>https://drive.google.com/file/d/1VsqpwZQkbAMMgtHr1zey0mX8EnbP1m7j/view?usp=drivesdk</t>
  </si>
  <si>
    <t>CERT-20251006-170722-HMAI</t>
  </si>
  <si>
    <t>Nicoly Bernardi Timm</t>
  </si>
  <si>
    <t>1EtIYofS0dwExJu_xpTdF--MKC7QfbBse</t>
  </si>
  <si>
    <t>https://drive.google.com/file/d/1EtIYofS0dwExJu_xpTdF--MKC7QfbBse/view?usp=drivesdk</t>
  </si>
  <si>
    <t>CERT-20251006-170722-GMNR</t>
  </si>
  <si>
    <t>Roberto Sossmeier Stein</t>
  </si>
  <si>
    <t>1_6ClfmBDe58XfeqNgQ7KW76rfpR6i6J3</t>
  </si>
  <si>
    <t>https://drive.google.com/file/d/1_6ClfmBDe58XfeqNgQ7KW76rfpR6i6J3/view?usp=drivesdk</t>
  </si>
  <si>
    <t>CERT-20251006-170722-7RNO</t>
  </si>
  <si>
    <t>Verônica Christimann Espinosa Varela</t>
  </si>
  <si>
    <t>1qM2BITOjXesB20TakuYCr7DBAM7Ia5p3</t>
  </si>
  <si>
    <t>https://drive.google.com/file/d/1qM2BITOjXesB20TakuYCr7DBAM7Ia5p3/view?usp=drivesdk</t>
  </si>
  <si>
    <t>CERT-20251006-174758-1IFY</t>
  </si>
  <si>
    <t>Amanda Brendha de Moura</t>
  </si>
  <si>
    <t>Projeto Saúde em Nossas Mãos - UTI</t>
  </si>
  <si>
    <t>2 horas</t>
  </si>
  <si>
    <t>1F4RJeOm42qnwF1kZ03VWdpKJfMTjfDpJ</t>
  </si>
  <si>
    <t>https://drive.google.com/file/d/1F4RJeOm42qnwF1kZ03VWdpKJfMTjfDpJ/view?usp=drivesdk</t>
  </si>
  <si>
    <t>CERT-20251006-174758-WKXI</t>
  </si>
  <si>
    <t>Breno Milman</t>
  </si>
  <si>
    <t>1ExrW7kYRPAPKEZpYxJw9JEOt2Z9dYKdt</t>
  </si>
  <si>
    <t>https://drive.google.com/file/d/1ExrW7kYRPAPKEZpYxJw9JEOt2Z9dYKdt/view?usp=drivesdk</t>
  </si>
  <si>
    <t>CERT-20251006-174758-KBYZ</t>
  </si>
  <si>
    <t>Eduarda Pufal</t>
  </si>
  <si>
    <t>1qwS2oQjkeII8qGUhbuF6xQQKYl72E_OW</t>
  </si>
  <si>
    <t>https://drive.google.com/file/d/1qwS2oQjkeII8qGUhbuF6xQQKYl72E_OW/view?usp=drivesdk</t>
  </si>
  <si>
    <t>CERT-20251006-174758-HB9Y</t>
  </si>
  <si>
    <t>Eduardo C. Palma</t>
  </si>
  <si>
    <t>1CzspbPkALJoF1UGDOPulUFmDBSTXhG-h</t>
  </si>
  <si>
    <t>https://drive.google.com/file/d/1CzspbPkALJoF1UGDOPulUFmDBSTXhG-h/view?usp=drivesdk</t>
  </si>
  <si>
    <t>CERT-20251006-174758-NSGB</t>
  </si>
  <si>
    <t xml:space="preserve">Fernanda Estrella </t>
  </si>
  <si>
    <t>1-ljZFOW2GG4GlZdaS9hixLqQjk7R_Cd7</t>
  </si>
  <si>
    <t>https://drive.google.com/file/d/1-ljZFOW2GG4GlZdaS9hixLqQjk7R_Cd7/view?usp=drivesdk</t>
  </si>
  <si>
    <t>CERT-20251006-174758-8E8Q</t>
  </si>
  <si>
    <t>Helena Vitória Colvara Cardoso</t>
  </si>
  <si>
    <t>1ExZHqlS7yLL2ewGsRUEsfvhSGU3fiDRP</t>
  </si>
  <si>
    <t>https://drive.google.com/file/d/1ExZHqlS7yLL2ewGsRUEsfvhSGU3fiDRP/view?usp=drivesdk</t>
  </si>
  <si>
    <t>CERT-20251006-174758-Q5D7</t>
  </si>
  <si>
    <t>Josiane Nunes</t>
  </si>
  <si>
    <t>1mQk0LmpAXquJAqqogU-gbwBj1atcOuFY</t>
  </si>
  <si>
    <t>https://drive.google.com/file/d/1mQk0LmpAXquJAqqogU-gbwBj1atcOuFY/view?usp=drivesdk</t>
  </si>
  <si>
    <t>CERT-20251006-174758-QWN7</t>
  </si>
  <si>
    <t xml:space="preserve">Liciane da Silva costa dresch </t>
  </si>
  <si>
    <t>1OUCTLYJQnLFgRM6dXiwjh32XV6YQlgXR</t>
  </si>
  <si>
    <t>https://drive.google.com/file/d/1OUCTLYJQnLFgRM6dXiwjh32XV6YQlgXR/view?usp=drivesdk</t>
  </si>
  <si>
    <t>CERT-20251006-182550-OJT5</t>
  </si>
  <si>
    <t>Anastácia Shirley Antunes da Rosa</t>
  </si>
  <si>
    <t>Prevenção de Quedas</t>
  </si>
  <si>
    <t>1YcqlAAGY0E_4MdT6NuCXHpGnXL0W95Nn</t>
  </si>
  <si>
    <t>https://drive.google.com/file/d/1YcqlAAGY0E_4MdT6NuCXHpGnXL0W95Nn/view?usp=drivesdk</t>
  </si>
  <si>
    <t>CERT-20251006-182550-3PCT</t>
  </si>
  <si>
    <t>Angelita da Rocha Campos</t>
  </si>
  <si>
    <t>1nINeeQKAZucPGwayofBaXV204Qe8UBWG</t>
  </si>
  <si>
    <t>https://drive.google.com/file/d/1nINeeQKAZucPGwayofBaXV204Qe8UBWG/view?usp=drivesdk</t>
  </si>
  <si>
    <t>CERT-20251006-182550-MDLE</t>
  </si>
  <si>
    <t>Bruno de Matos Gonçalves</t>
  </si>
  <si>
    <t>1W4zeUOSmOSdIvAgpPrLUyhSqAoo0NZXv</t>
  </si>
  <si>
    <t>https://drive.google.com/file/d/1W4zeUOSmOSdIvAgpPrLUyhSqAoo0NZXv/view?usp=drivesdk</t>
  </si>
  <si>
    <t>CERT-20251006-182550-9CQG</t>
  </si>
  <si>
    <t>Camila Teresinha de Freitas</t>
  </si>
  <si>
    <t>1UNL8N7Wjl3U12ctFVYe2Go0cI-LVi1YQ</t>
  </si>
  <si>
    <t>https://drive.google.com/file/d/1UNL8N7Wjl3U12ctFVYe2Go0cI-LVi1YQ/view?usp=drivesdk</t>
  </si>
  <si>
    <t>CERT-20251006-182550-N6EJ</t>
  </si>
  <si>
    <t>Clarice Carvalho de Oliveira Alfaro</t>
  </si>
  <si>
    <t>18cJp2dRTQ87RhX1qbdqw8cmnDaEVXUgR</t>
  </si>
  <si>
    <t>https://drive.google.com/file/d/18cJp2dRTQ87RhX1qbdqw8cmnDaEVXUgR/view?usp=drivesdk</t>
  </si>
  <si>
    <t>CERT-20251006-182550-3Z87</t>
  </si>
  <si>
    <t>Daiana Passos</t>
  </si>
  <si>
    <t>1pG-qJ-WU9bEaDSW8QGZd0fgFx69qnTzO</t>
  </si>
  <si>
    <t>https://drive.google.com/file/d/1pG-qJ-WU9bEaDSW8QGZd0fgFx69qnTzO/view?usp=drivesdk</t>
  </si>
  <si>
    <t>CERT-20251006-182550-10N4</t>
  </si>
  <si>
    <t>1QnGnK7VkuzUDf4XNNj9L0OZPI7qItg4t</t>
  </si>
  <si>
    <t>https://drive.google.com/file/d/1QnGnK7VkuzUDf4XNNj9L0OZPI7qItg4t/view?usp=drivesdk</t>
  </si>
  <si>
    <t>CERT-20251006-182550-QACZ</t>
  </si>
  <si>
    <t>Dyovanna Matos</t>
  </si>
  <si>
    <t>1t6R8tT7kZUEYecZFRhA_yNY55lYUS1Ti</t>
  </si>
  <si>
    <t>https://drive.google.com/file/d/1t6R8tT7kZUEYecZFRhA_yNY55lYUS1Ti/view?usp=drivesdk</t>
  </si>
  <si>
    <t>CERT-20251006-182550-XRQ9</t>
  </si>
  <si>
    <t>17oz6k1qejBSpyQ47F7m6WqoK3c3LRon-</t>
  </si>
  <si>
    <t>https://drive.google.com/file/d/17oz6k1qejBSpyQ47F7m6WqoK3c3LRon-/view?usp=drivesdk</t>
  </si>
  <si>
    <t>CERT-20251006-182550-639J</t>
  </si>
  <si>
    <t>Eduarda Souza da Silva</t>
  </si>
  <si>
    <t>1ziIJl7AtNETMYDcl_c5U1RrXQoKwGur-</t>
  </si>
  <si>
    <t>https://drive.google.com/file/d/1ziIJl7AtNETMYDcl_c5U1RrXQoKwGur-/view?usp=drivesdk</t>
  </si>
  <si>
    <t>CERT-20251006-182550-J3AT</t>
  </si>
  <si>
    <t>1XbzLcKRPjA67HCEtxgq3rnoldWMcRI6h</t>
  </si>
  <si>
    <t>https://drive.google.com/file/d/1XbzLcKRPjA67HCEtxgq3rnoldWMcRI6h/view?usp=drivesdk</t>
  </si>
  <si>
    <t>CERT-20251006-182550-8QHK</t>
  </si>
  <si>
    <t>Elisane de Andrade</t>
  </si>
  <si>
    <t>152vJ5h5d27iGhbs6jd9ImZS1_11F5aef</t>
  </si>
  <si>
    <t>https://drive.google.com/file/d/152vJ5h5d27iGhbs6jd9ImZS1_11F5aef/view?usp=drivesdk</t>
  </si>
  <si>
    <t>CERT-20251006-182550-LE1U</t>
  </si>
  <si>
    <t>Fabiana ehlers nogueira</t>
  </si>
  <si>
    <t>1LHXlUSf77tUCSqEYnsq6IMrwYUHN_Cm3</t>
  </si>
  <si>
    <t>https://drive.google.com/file/d/1LHXlUSf77tUCSqEYnsq6IMrwYUHN_Cm3/view?usp=drivesdk</t>
  </si>
  <si>
    <t>CERT-20251006-182550-ZU8S</t>
  </si>
  <si>
    <t>Gisele Barbosa Vieira</t>
  </si>
  <si>
    <t>1Q11bwygcNAU8omFt7riMVu2-edzL1etL</t>
  </si>
  <si>
    <t>https://drive.google.com/file/d/1Q11bwygcNAU8omFt7riMVu2-edzL1etL/view?usp=drivesdk</t>
  </si>
  <si>
    <t>CERT-20251006-182550-MEPF</t>
  </si>
  <si>
    <t>Greice De Oliveira Siqueira</t>
  </si>
  <si>
    <t>1eZRL-tD4JRPa_vUOUw-y-Rb-4U4dfsHu</t>
  </si>
  <si>
    <t>https://drive.google.com/file/d/1eZRL-tD4JRPa_vUOUw-y-Rb-4U4dfsHu/view?usp=drivesdk</t>
  </si>
  <si>
    <t>CERT-20251006-182550-1F0O</t>
  </si>
  <si>
    <t>10BJEYfG1brAnkDqyu8fUiXyfvtMGHFuy</t>
  </si>
  <si>
    <t>https://drive.google.com/file/d/10BJEYfG1brAnkDqyu8fUiXyfvtMGHFuy/view?usp=drivesdk</t>
  </si>
  <si>
    <t>CERT-20251006-182550-TAED</t>
  </si>
  <si>
    <t>Israel Sergio dos Santos Barbosa</t>
  </si>
  <si>
    <t>1hplkOg7xG-3J8vTIKMTKbPRN5dTpmGVX</t>
  </si>
  <si>
    <t>https://drive.google.com/file/d/1hplkOg7xG-3J8vTIKMTKbPRN5dTpmGVX/view?usp=drivesdk</t>
  </si>
  <si>
    <t>CERT-20251006-182550-DHEO</t>
  </si>
  <si>
    <t>Jeferson Luis Quaresma Land</t>
  </si>
  <si>
    <t>1cMarBVmCajEnHz0qxITan56CWH_Fus2g</t>
  </si>
  <si>
    <t>https://drive.google.com/file/d/1cMarBVmCajEnHz0qxITan56CWH_Fus2g/view?usp=drivesdk</t>
  </si>
  <si>
    <t>CERT-20251006-182550-0NSG</t>
  </si>
  <si>
    <t>Joélson Veiga Farias</t>
  </si>
  <si>
    <t>1UpADqXdSlvkz64eIRFUbR_wMI912VYPS</t>
  </si>
  <si>
    <t>https://drive.google.com/file/d/1UpADqXdSlvkz64eIRFUbR_wMI912VYPS/view?usp=drivesdk</t>
  </si>
  <si>
    <t>CERT-20251006-182550-VWED</t>
  </si>
  <si>
    <t>1UTfWbndpaFwsEkpls0qLeQdnAsExse1Y</t>
  </si>
  <si>
    <t>https://drive.google.com/file/d/1UTfWbndpaFwsEkpls0qLeQdnAsExse1Y/view?usp=drivesdk</t>
  </si>
  <si>
    <t>CERT-20251006-182550-SNE9</t>
  </si>
  <si>
    <t>1X5HAw0cCsmb6vLo4QTc4t2Dn4lzG4tEl</t>
  </si>
  <si>
    <t>https://drive.google.com/file/d/1X5HAw0cCsmb6vLo4QTc4t2Dn4lzG4tEl/view?usp=drivesdk</t>
  </si>
  <si>
    <t>CERT-20251006-182550-2T7X</t>
  </si>
  <si>
    <t>Juliana Gomes Monteiro Santarem</t>
  </si>
  <si>
    <t>10-d7TYKidWHgTHcIJKl2cRbcSAlH3SLs</t>
  </si>
  <si>
    <t>https://drive.google.com/file/d/10-d7TYKidWHgTHcIJKl2cRbcSAlH3SLs/view?usp=drivesdk</t>
  </si>
  <si>
    <t>CERT-20251006-182550-GVPH</t>
  </si>
  <si>
    <t>1mbSrvsdvqHPcTQynL2PIRFSU9Rlbi_i4</t>
  </si>
  <si>
    <t>https://drive.google.com/file/d/1mbSrvsdvqHPcTQynL2PIRFSU9Rlbi_i4/view?usp=drivesdk</t>
  </si>
  <si>
    <t>CERT-20251006-182550-0LX4</t>
  </si>
  <si>
    <t>1vqN7GhfAkm6EttA2JtG_YPY_fl4CZTXU</t>
  </si>
  <si>
    <t>https://drive.google.com/file/d/1vqN7GhfAkm6EttA2JtG_YPY_fl4CZTXU/view?usp=drivesdk</t>
  </si>
  <si>
    <t>CERT-20251006-182550-8ZSW</t>
  </si>
  <si>
    <t>Leonardo da Silva Etter</t>
  </si>
  <si>
    <t>1xUfd-IvqhN-lG01jNjiWBokjv1us1qm7</t>
  </si>
  <si>
    <t>https://drive.google.com/file/d/1xUfd-IvqhN-lG01jNjiWBokjv1us1qm7/view?usp=drivesdk</t>
  </si>
  <si>
    <t>CERT-20251006-182550-YTX7</t>
  </si>
  <si>
    <t>Letícia Maria de Souza Jesus</t>
  </si>
  <si>
    <t>1Uv8TjgRr15o7l1sAtmpZcbkMH9A9uGq1</t>
  </si>
  <si>
    <t>https://drive.google.com/file/d/1Uv8TjgRr15o7l1sAtmpZcbkMH9A9uGq1/view?usp=drivesdk</t>
  </si>
  <si>
    <t>CERT-20251006-182550-BQWG</t>
  </si>
  <si>
    <t>Liane Wohlfahrt Buhler</t>
  </si>
  <si>
    <t>1mFaQQY66UM8-lJaXotE5Hj3rsh992pbD</t>
  </si>
  <si>
    <t>https://drive.google.com/file/d/1mFaQQY66UM8-lJaXotE5Hj3rsh992pbD/view?usp=drivesdk</t>
  </si>
  <si>
    <t>CERT-20251006-182550-5U2R</t>
  </si>
  <si>
    <t>Lisiane Soares de Mello</t>
  </si>
  <si>
    <t>1RbMnecRQxjS-FYHoPbMDON8snyW09cP6</t>
  </si>
  <si>
    <t>https://drive.google.com/file/d/1RbMnecRQxjS-FYHoPbMDON8snyW09cP6/view?usp=drivesdk</t>
  </si>
  <si>
    <t>CERT-20251006-182550-JRN4</t>
  </si>
  <si>
    <t>Lucilene de Cassia Dorneles Alegre</t>
  </si>
  <si>
    <t>1monbqxOsoUlEiFbs1g0Cx1L6xuDP-ZcG</t>
  </si>
  <si>
    <t>https://drive.google.com/file/d/1monbqxOsoUlEiFbs1g0Cx1L6xuDP-ZcG/view?usp=drivesdk</t>
  </si>
  <si>
    <t>CERT-20251006-182550-PGA4</t>
  </si>
  <si>
    <t>18E-3Vnw6A-k1eiHpIsKNn9lLVN-I4sHJ</t>
  </si>
  <si>
    <t>https://drive.google.com/file/d/18E-3Vnw6A-k1eiHpIsKNn9lLVN-I4sHJ/view?usp=drivesdk</t>
  </si>
  <si>
    <t>CERT-20251006-182550-PO6Q</t>
  </si>
  <si>
    <t>Marília Gabriela dos Santos da Silveira</t>
  </si>
  <si>
    <t>1q-lTsgTQf4qhVEKBbXYXIRjIhL0HwiIl</t>
  </si>
  <si>
    <t>https://drive.google.com/file/d/1q-lTsgTQf4qhVEKBbXYXIRjIhL0HwiIl/view?usp=drivesdk</t>
  </si>
  <si>
    <t>CERT-20251006-182550-B7JC</t>
  </si>
  <si>
    <t>Michele Christina Matos da Silva</t>
  </si>
  <si>
    <t>14GhYVKyFJMcbUa7cWHWwngOYfOTn2StG</t>
  </si>
  <si>
    <t>https://drive.google.com/file/d/14GhYVKyFJMcbUa7cWHWwngOYfOTn2StG/view?usp=drivesdk</t>
  </si>
  <si>
    <t>CERT-20251006-182550-UDJ6</t>
  </si>
  <si>
    <t>Monica da Silva delfim</t>
  </si>
  <si>
    <t>19SKUVEPJMcTWkd-pgCZV-O-vI78ARUxS</t>
  </si>
  <si>
    <t>https://drive.google.com/file/d/19SKUVEPJMcTWkd-pgCZV-O-vI78ARUxS/view?usp=drivesdk</t>
  </si>
  <si>
    <t>CERT-20251006-182550-U2E7</t>
  </si>
  <si>
    <t>1FvNL7Upaj3dbi2Jp7Yt-CjuV_kovzbXb</t>
  </si>
  <si>
    <t>https://drive.google.com/file/d/1FvNL7Upaj3dbi2Jp7Yt-CjuV_kovzbXb/view?usp=drivesdk</t>
  </si>
  <si>
    <t>CERT-20251006-182550-6T1Y</t>
  </si>
  <si>
    <t>Noeli Calvi</t>
  </si>
  <si>
    <t>13F2Z9pkvB9PFN1mzlhfev_SAe25GRU1c</t>
  </si>
  <si>
    <t>https://drive.google.com/file/d/13F2Z9pkvB9PFN1mzlhfev_SAe25GRU1c/view?usp=drivesdk</t>
  </si>
  <si>
    <t>CERT-20251006-182550-PODN</t>
  </si>
  <si>
    <t>1PlvzUkhLcZL2Y6Gwmfca9ugiPpGzemDB</t>
  </si>
  <si>
    <t>https://drive.google.com/file/d/1PlvzUkhLcZL2Y6Gwmfca9ugiPpGzemDB/view?usp=drivesdk</t>
  </si>
  <si>
    <t>CERT-20251006-182550-WYYY</t>
  </si>
  <si>
    <t>Paulo Juliano Garcia</t>
  </si>
  <si>
    <t>1YGhlCLkXDHgTm2uE_SN35nXd7NpKgftb</t>
  </si>
  <si>
    <t>https://drive.google.com/file/d/1YGhlCLkXDHgTm2uE_SN35nXd7NpKgftb/view?usp=drivesdk</t>
  </si>
  <si>
    <t>CERT-20251006-182550-EOAS</t>
  </si>
  <si>
    <t>Quetlen Larissa Abi Noetzold Silva</t>
  </si>
  <si>
    <t>1_SyrsosyTNd38J4xPZae0PUh2eV71Iaq</t>
  </si>
  <si>
    <t>https://drive.google.com/file/d/1_SyrsosyTNd38J4xPZae0PUh2eV71Iaq/view?usp=drivesdk</t>
  </si>
  <si>
    <t>CERT-20251006-182550-6Q29</t>
  </si>
  <si>
    <t>1e-LBGKzAc749JhfRaUB5Z6G6cwGCDcNi</t>
  </si>
  <si>
    <t>https://drive.google.com/file/d/1e-LBGKzAc749JhfRaUB5Z6G6cwGCDcNi/view?usp=drivesdk</t>
  </si>
  <si>
    <t>CERT-20251006-182550-WGG0</t>
  </si>
  <si>
    <t>Renata Machado da Silva</t>
  </si>
  <si>
    <t>1hnH6LYraqDl6k6Hj1AOvQx9X2u9UKTwN</t>
  </si>
  <si>
    <t>https://drive.google.com/file/d/1hnH6LYraqDl6k6Hj1AOvQx9X2u9UKTwN/view?usp=drivesdk</t>
  </si>
  <si>
    <t>CERT-20251006-182550-6JXW</t>
  </si>
  <si>
    <t>Roseli krein</t>
  </si>
  <si>
    <t>1wuKlMgmVD7Nti11lYJFtYZVsf8-JOeSw</t>
  </si>
  <si>
    <t>https://drive.google.com/file/d/1wuKlMgmVD7Nti11lYJFtYZVsf8-JOeSw/view?usp=drivesdk</t>
  </si>
  <si>
    <t>CERT-20251006-182550-DVYI</t>
  </si>
  <si>
    <t>Sara Júlia Franzon</t>
  </si>
  <si>
    <t>15IdFmhJbmpiHHHLAcQVdYmG9khMCSxkB</t>
  </si>
  <si>
    <t>https://drive.google.com/file/d/15IdFmhJbmpiHHHLAcQVdYmG9khMCSxkB/view?usp=drivesdk</t>
  </si>
  <si>
    <t>CERT-20251006-182550-QMZE</t>
  </si>
  <si>
    <t>1QBQybxD5_wyOPLkqDbwsNtYEfXtxf0iT</t>
  </si>
  <si>
    <t>https://drive.google.com/file/d/1QBQybxD5_wyOPLkqDbwsNtYEfXtxf0iT/view?usp=drivesdk</t>
  </si>
  <si>
    <t>CERT-20251006-182550-UX1N</t>
  </si>
  <si>
    <t>Suzana Pedroso Correa</t>
  </si>
  <si>
    <t>1v20r016hWgXZo58r5Uow_0kaLXFVBrhy</t>
  </si>
  <si>
    <t>https://drive.google.com/file/d/1v20r016hWgXZo58r5Uow_0kaLXFVBrhy/view?usp=drivesdk</t>
  </si>
  <si>
    <t>CERT-20251006-182550-39UH</t>
  </si>
  <si>
    <t>Tania de Lourdes Andrade Vargas</t>
  </si>
  <si>
    <t>1EBCVl2-bLc4iC4shZC7oyQNYxkdtm3xp</t>
  </si>
  <si>
    <t>https://drive.google.com/file/d/1EBCVl2-bLc4iC4shZC7oyQNYxkdtm3xp/view?usp=drivesdk</t>
  </si>
  <si>
    <t>CERT-20251006-182550-1TLW</t>
  </si>
  <si>
    <t>Tania maria dos santos goncalves</t>
  </si>
  <si>
    <t>1kzaiRASb9R2glMY3zcT-49Q7GtVMDe6p</t>
  </si>
  <si>
    <t>https://drive.google.com/file/d/1kzaiRASb9R2glMY3zcT-49Q7GtVMDe6p/view?usp=drivesdk</t>
  </si>
  <si>
    <t>CERT-20251006-182550-TQIY</t>
  </si>
  <si>
    <t>Vanderleia Rodrigues da Silva</t>
  </si>
  <si>
    <t>1cx7k4jx16JctQgtOG0EDlE9OaMDZDsas</t>
  </si>
  <si>
    <t>https://drive.google.com/file/d/1cx7k4jx16JctQgtOG0EDlE9OaMDZDsas/view?usp=drivesdk</t>
  </si>
  <si>
    <t>CERT-20251006-182550-Z3B5</t>
  </si>
  <si>
    <t>Vanessa Gomes da Silva Lima</t>
  </si>
  <si>
    <t>12PvA6SM4OKQqqN8KdA6BaIn-R9vWZket</t>
  </si>
  <si>
    <t>https://drive.google.com/file/d/12PvA6SM4OKQqqN8KdA6BaIn-R9vWZket/view?usp=drivesdk</t>
  </si>
  <si>
    <t>CERT-20251006-182550-GDKC</t>
  </si>
  <si>
    <t>Veridiana hertz gomes</t>
  </si>
  <si>
    <t>1DHzwds4b454rKNAzwniGV6LL41_wAuNS</t>
  </si>
  <si>
    <t>https://drive.google.com/file/d/1DHzwds4b454rKNAzwniGV6LL41_wAuNS/view?usp=drivesdk</t>
  </si>
  <si>
    <t>CERT-20251006-182550-TKEM</t>
  </si>
  <si>
    <t>Yasmin Juliana dos Santos Epifaneo</t>
  </si>
  <si>
    <t>10GPwOKnX4NI44hYEevyAUI7migPjLASf</t>
  </si>
  <si>
    <t>https://drive.google.com/file/d/10GPwOKnX4NI44hYEevyAUI7migPjLASf/view?usp=drivesdk</t>
  </si>
  <si>
    <t>CERT-20251009-125241-XCL4</t>
  </si>
  <si>
    <t xml:space="preserve">Adriele Rodrigues Borges Jorge </t>
  </si>
  <si>
    <t>Notificação de Eventos Adversos</t>
  </si>
  <si>
    <t>1Zz63BNn03TEtGGfwrhsDfS3Read1xCy-</t>
  </si>
  <si>
    <t>https://drive.google.com/file/d/1Zz63BNn03TEtGGfwrhsDfS3Read1xCy-/view?usp=drivesdk</t>
  </si>
  <si>
    <t>CERT-20251009-125241-PK6D</t>
  </si>
  <si>
    <t xml:space="preserve">Ana Luiza Pereira </t>
  </si>
  <si>
    <t>1CxnMjhcOmcinIs2kx0ZoRdKD6Bwg05ot</t>
  </si>
  <si>
    <t>https://drive.google.com/file/d/1CxnMjhcOmcinIs2kx0ZoRdKD6Bwg05ot/view?usp=drivesdk</t>
  </si>
  <si>
    <t>CERT-20251009-125241-5B5P</t>
  </si>
  <si>
    <t xml:space="preserve">Cátia Cilene Brum da Silva </t>
  </si>
  <si>
    <t>1VsNQC1QzzjBGdaDrtcIf5jKJYBey0_fe</t>
  </si>
  <si>
    <t>https://drive.google.com/file/d/1VsNQC1QzzjBGdaDrtcIf5jKJYBey0_fe/view?usp=drivesdk</t>
  </si>
  <si>
    <t>CERT-20251009-125241-MBR7</t>
  </si>
  <si>
    <t>Cristiane Isabel berres</t>
  </si>
  <si>
    <t>1qCJyy0GpxFN0uOmO7w1hYt-hUAIASu5-</t>
  </si>
  <si>
    <t>https://drive.google.com/file/d/1qCJyy0GpxFN0uOmO7w1hYt-hUAIASu5-/view?usp=drivesdk</t>
  </si>
  <si>
    <t>CERT-20251009-125241-P2XL</t>
  </si>
  <si>
    <t xml:space="preserve">Daniela Rodrigues Oliveira </t>
  </si>
  <si>
    <t>1N9xs7YspQYiQvtwpOqdq2veJYzwm3DFL</t>
  </si>
  <si>
    <t>https://drive.google.com/file/d/1N9xs7YspQYiQvtwpOqdq2veJYzwm3DFL/view?usp=drivesdk</t>
  </si>
  <si>
    <t>CERT-20251009-125241-OI4K</t>
  </si>
  <si>
    <t xml:space="preserve">Dorival de Lima Ramires </t>
  </si>
  <si>
    <t>1TtmwBtyiM1YtlQKaxSpeBKxMdtUCnmEU</t>
  </si>
  <si>
    <t>https://drive.google.com/file/d/1TtmwBtyiM1YtlQKaxSpeBKxMdtUCnmEU/view?usp=drivesdk</t>
  </si>
  <si>
    <t>CERT-20251009-125241-CT51</t>
  </si>
  <si>
    <t xml:space="preserve">Eliane da Silva Patzlaff </t>
  </si>
  <si>
    <t>1EQJ7-VAL-tDrUlnJhZYqhiHqdSYiQVpb</t>
  </si>
  <si>
    <t>https://drive.google.com/file/d/1EQJ7-VAL-tDrUlnJhZYqhiHqdSYiQVpb/view?usp=drivesdk</t>
  </si>
  <si>
    <t>CERT-20251009-125241-D3VG</t>
  </si>
  <si>
    <t xml:space="preserve">Fabiana Ehlers Nogueira </t>
  </si>
  <si>
    <t>1CwV3XFp9j3YNJ_d195IWYdN6ZvGf6Y3G</t>
  </si>
  <si>
    <t>https://drive.google.com/file/d/1CwV3XFp9j3YNJ_d195IWYdN6ZvGf6Y3G/view?usp=drivesdk</t>
  </si>
  <si>
    <t>CERT-20251009-125241-BZ70</t>
  </si>
  <si>
    <t xml:space="preserve">Grace Graziele Fernandes da Silva </t>
  </si>
  <si>
    <t>1n86vz7WA1gSSzcGoEP3VdseBVUnH8NYv</t>
  </si>
  <si>
    <t>https://drive.google.com/file/d/1n86vz7WA1gSSzcGoEP3VdseBVUnH8NYv/view?usp=drivesdk</t>
  </si>
  <si>
    <t>CERT-20251009-125241-8D7T</t>
  </si>
  <si>
    <t>18yrUOn55BSF4LqDhkvO4RZc9bNOiCHNk</t>
  </si>
  <si>
    <t>https://drive.google.com/file/d/18yrUOn55BSF4LqDhkvO4RZc9bNOiCHNk/view?usp=drivesdk</t>
  </si>
  <si>
    <t>CERT-20251009-125241-GNBR</t>
  </si>
  <si>
    <t xml:space="preserve">Luciana Trespach Porto Saldanha </t>
  </si>
  <si>
    <t>1FAayIur6DlDEGmeRmgxZX756PdmKePAA</t>
  </si>
  <si>
    <t>https://drive.google.com/file/d/1FAayIur6DlDEGmeRmgxZX756PdmKePAA/view?usp=drivesdk</t>
  </si>
  <si>
    <t>CERT-20251008-172033-5SNH</t>
  </si>
  <si>
    <t>Lavagem de Mãos</t>
  </si>
  <si>
    <t>1l2ZAF3v-9a39DmzMB5CmtawhYh6dKNoF</t>
  </si>
  <si>
    <t>https://drive.google.com/file/d/1l2ZAF3v-9a39DmzMB5CmtawhYh6dKNoF/view?usp=drivesdk</t>
  </si>
  <si>
    <t>CERT-20251008-172033-M0FE</t>
  </si>
  <si>
    <t xml:space="preserve">Ágatha Schaiane Pinto </t>
  </si>
  <si>
    <t>1u2gHt1Hq9U5A-WUBbcruzWJlkgN1RH9x</t>
  </si>
  <si>
    <t>https://drive.google.com/file/d/1u2gHt1Hq9U5A-WUBbcruzWJlkgN1RH9x/view?usp=drivesdk</t>
  </si>
  <si>
    <t>CERT-20251008-172033-L9PU</t>
  </si>
  <si>
    <t xml:space="preserve">Ana cândida pedroso </t>
  </si>
  <si>
    <t>1AGIEtSjyfpTsVOYxQDr8LCGdFWM_-6ui</t>
  </si>
  <si>
    <t>https://drive.google.com/file/d/1AGIEtSjyfpTsVOYxQDr8LCGdFWM_-6ui/view?usp=drivesdk</t>
  </si>
  <si>
    <t>CERT-20251008-172033-NRW8</t>
  </si>
  <si>
    <t xml:space="preserve">Anastacia da Rosa </t>
  </si>
  <si>
    <t>1v2Pmg1LXRcsFYLw2EN2cZxSDhHgMhI8_</t>
  </si>
  <si>
    <t>https://drive.google.com/file/d/1v2Pmg1LXRcsFYLw2EN2cZxSDhHgMhI8_/view?usp=drivesdk</t>
  </si>
  <si>
    <t>CERT-20251008-172033-O8FC</t>
  </si>
  <si>
    <t xml:space="preserve">Brenda de Oliveira Glaeser da Silva </t>
  </si>
  <si>
    <t>11D42HD5IQPlmqM-E6ix0wn9xpSOlAzU2</t>
  </si>
  <si>
    <t>https://drive.google.com/file/d/11D42HD5IQPlmqM-E6ix0wn9xpSOlAzU2/view?usp=drivesdk</t>
  </si>
  <si>
    <t>CERT-20251008-172033-MXKA</t>
  </si>
  <si>
    <t xml:space="preserve">Cátia cilene Brum da Silva </t>
  </si>
  <si>
    <t>10q4lHLBh2IiX_HHkR7xz2ldGIapx0oTH</t>
  </si>
  <si>
    <t>https://drive.google.com/file/d/10q4lHLBh2IiX_HHkR7xz2ldGIapx0oTH/view?usp=drivesdk</t>
  </si>
  <si>
    <t>CERT-20251008-172033-LTPS</t>
  </si>
  <si>
    <t>Cintia Marlei Boeira da silva</t>
  </si>
  <si>
    <t>10F5zMzehQ-LieGo5ztvCLA7KJFr6srBK</t>
  </si>
  <si>
    <t>https://drive.google.com/file/d/10F5zMzehQ-LieGo5ztvCLA7KJFr6srBK/view?usp=drivesdk</t>
  </si>
  <si>
    <t>CERT-20251008-172033-TX5I</t>
  </si>
  <si>
    <t xml:space="preserve">Clarice Carvalho de Oliveira Alfaro </t>
  </si>
  <si>
    <t>17pMvS2eTJQ9pDiLGPL3dbv2bjeuExAUB</t>
  </si>
  <si>
    <t>https://drive.google.com/file/d/17pMvS2eTJQ9pDiLGPL3dbv2bjeuExAUB/view?usp=drivesdk</t>
  </si>
  <si>
    <t>CERT-20251008-172033-7X7N</t>
  </si>
  <si>
    <t>Claudia de azevedo</t>
  </si>
  <si>
    <t>1Tqwxi-VRgSRIvfHj3FyrC1SVm6gue_AE</t>
  </si>
  <si>
    <t>https://drive.google.com/file/d/1Tqwxi-VRgSRIvfHj3FyrC1SVm6gue_AE/view?usp=drivesdk</t>
  </si>
  <si>
    <t>CERT-20251008-172033-QZ7Y</t>
  </si>
  <si>
    <t xml:space="preserve">Elendine de Vargas </t>
  </si>
  <si>
    <t>1XqpUflk02J-TnYo67sU3PvZ_VEG25S87</t>
  </si>
  <si>
    <t>https://drive.google.com/file/d/1XqpUflk02J-TnYo67sU3PvZ_VEG25S87/view?usp=drivesdk</t>
  </si>
  <si>
    <t>CERT-20251008-172033-VCPI</t>
  </si>
  <si>
    <t>Fernando Dias Conratt</t>
  </si>
  <si>
    <t>1OaO7dF34qmenE3B80Pc9lN6F-PRRrXrN</t>
  </si>
  <si>
    <t>https://drive.google.com/file/d/1OaO7dF34qmenE3B80Pc9lN6F-PRRrXrN/view?usp=drivesdk</t>
  </si>
  <si>
    <t>CERT-20251008-172033-RNFV</t>
  </si>
  <si>
    <t xml:space="preserve">Gisele Echeverria Machado </t>
  </si>
  <si>
    <t>1uvD0LUOCjJXnC77wzXgUk24yJ27LkM7z</t>
  </si>
  <si>
    <t>https://drive.google.com/file/d/1uvD0LUOCjJXnC77wzXgUk24yJ27LkM7z/view?usp=drivesdk</t>
  </si>
  <si>
    <t>CERT-20251008-172033-926O</t>
  </si>
  <si>
    <t xml:space="preserve">Giulia Maria Mota de Abreu </t>
  </si>
  <si>
    <t>1hZpVM6aaWnrOOeOyWJvjlm5j76ovTA3H</t>
  </si>
  <si>
    <t>https://drive.google.com/file/d/1hZpVM6aaWnrOOeOyWJvjlm5j76ovTA3H/view?usp=drivesdk</t>
  </si>
  <si>
    <t>CERT-20251008-172033-X2QM</t>
  </si>
  <si>
    <t xml:space="preserve">Israel Sergio dos Santos Barbosa </t>
  </si>
  <si>
    <t>1jXcJD_ManRREptnYjldmFYigJOuiolUc</t>
  </si>
  <si>
    <t>https://drive.google.com/file/d/1jXcJD_ManRREptnYjldmFYigJOuiolUc/view?usp=drivesdk</t>
  </si>
  <si>
    <t>CERT-20251008-172033-6QVC</t>
  </si>
  <si>
    <t>Jeniffer da Luz Borck</t>
  </si>
  <si>
    <t>1IezsGaeV1zoFtVBe1DPkjcqYz6XgKnKP</t>
  </si>
  <si>
    <t>https://drive.google.com/file/d/1IezsGaeV1zoFtVBe1DPkjcqYz6XgKnKP/view?usp=drivesdk</t>
  </si>
  <si>
    <t>CERT-20251008-172033-TPUA</t>
  </si>
  <si>
    <t>Jessic Pereira De Conti</t>
  </si>
  <si>
    <t>1M6Jraz3YyFXdPkv84jF4IlB2xNsSNGyb</t>
  </si>
  <si>
    <t>https://drive.google.com/file/d/1M6Jraz3YyFXdPkv84jF4IlB2xNsSNGyb/view?usp=drivesdk</t>
  </si>
  <si>
    <t>CERT-20251008-172033-718B</t>
  </si>
  <si>
    <t xml:space="preserve">Joelson Veiga Farias </t>
  </si>
  <si>
    <t>1bzNi3fPu53PLX8H1fsM62ExlGBHSl1rt</t>
  </si>
  <si>
    <t>https://drive.google.com/file/d/1bzNi3fPu53PLX8H1fsM62ExlGBHSl1rt/view?usp=drivesdk</t>
  </si>
  <si>
    <t>CERT-20251008-172033-MRW0</t>
  </si>
  <si>
    <t>1gqJcO3EvOLNBlvFSf_jMuzQWEpOQBpMr</t>
  </si>
  <si>
    <t>https://drive.google.com/file/d/1gqJcO3EvOLNBlvFSf_jMuzQWEpOQBpMr/view?usp=drivesdk</t>
  </si>
  <si>
    <t>CERT-20251008-172033-NEBI</t>
  </si>
  <si>
    <t>13PDK738ssDdZnVPfCbyL9ekXCpqDFJC8</t>
  </si>
  <si>
    <t>https://drive.google.com/file/d/13PDK738ssDdZnVPfCbyL9ekXCpqDFJC8/view?usp=drivesdk</t>
  </si>
  <si>
    <t>CERT-20251008-172033-S09H</t>
  </si>
  <si>
    <t xml:space="preserve">Liane morinelli </t>
  </si>
  <si>
    <t>10Eec8mgdA_zTUbvAVQqcoKDi0wib5fbX</t>
  </si>
  <si>
    <t>https://drive.google.com/file/d/10Eec8mgdA_zTUbvAVQqcoKDi0wib5fbX/view?usp=drivesdk</t>
  </si>
  <si>
    <t>CERT-20251008-172033-H35E</t>
  </si>
  <si>
    <t>Luana D'AVILA Mello</t>
  </si>
  <si>
    <t>1t9Xv1o1gRn3QvQEJaZY7Sycra8z5_8R8</t>
  </si>
  <si>
    <t>https://drive.google.com/file/d/1t9Xv1o1gRn3QvQEJaZY7Sycra8z5_8R8/view?usp=drivesdk</t>
  </si>
  <si>
    <t>CERT-20251008-172033-IZAN</t>
  </si>
  <si>
    <t>1RZNmqwEb_ewIefWRKVfM1jfF688epKKg</t>
  </si>
  <si>
    <t>https://drive.google.com/file/d/1RZNmqwEb_ewIefWRKVfM1jfF688epKKg/view?usp=drivesdk</t>
  </si>
  <si>
    <t>CERT-20251008-172033-RBHF</t>
  </si>
  <si>
    <t xml:space="preserve">Maiese dos Santos Oliveira </t>
  </si>
  <si>
    <t>1xM15eS386pT52fAAqYi8OhtA3KVCz-U-</t>
  </si>
  <si>
    <t>https://drive.google.com/file/d/1xM15eS386pT52fAAqYi8OhtA3KVCz-U-/view?usp=drivesdk</t>
  </si>
  <si>
    <t>CERT-20251008-172033-NX5Y</t>
  </si>
  <si>
    <t xml:space="preserve">Maria Elizabete Soares dos Santos </t>
  </si>
  <si>
    <t>1_uUYOMuquFEWKohudhG77OsMWDrIan_x</t>
  </si>
  <si>
    <t>https://drive.google.com/file/d/1_uUYOMuquFEWKohudhG77OsMWDrIan_x/view?usp=drivesdk</t>
  </si>
  <si>
    <t>CERT-20251008-172033-R3WT</t>
  </si>
  <si>
    <t xml:space="preserve">Paulo Juliano Garcia </t>
  </si>
  <si>
    <t>19aPtZsb8qUipzosQY3Zg5lJeBPMFvQZz</t>
  </si>
  <si>
    <t>https://drive.google.com/file/d/19aPtZsb8qUipzosQY3Zg5lJeBPMFvQZz/view?usp=drivesdk</t>
  </si>
  <si>
    <t>CERT-20251008-172033-XV71</t>
  </si>
  <si>
    <t>Priscila Corrêa Torres</t>
  </si>
  <si>
    <t>1e3Np1AWIqpUrVOHWZvDsDu_uX4Elfyyo</t>
  </si>
  <si>
    <t>https://drive.google.com/file/d/1e3Np1AWIqpUrVOHWZvDsDu_uX4Elfyyo/view?usp=drivesdk</t>
  </si>
  <si>
    <t>CERT-20251008-172033-HI3W</t>
  </si>
  <si>
    <t>Samanta Ferreira</t>
  </si>
  <si>
    <t>1IHxJ0EsDI3LPh4Uxmj1Scde2IBy6aP48</t>
  </si>
  <si>
    <t>https://drive.google.com/file/d/1IHxJ0EsDI3LPh4Uxmj1Scde2IBy6aP48/view?usp=drivesdk</t>
  </si>
  <si>
    <t>CERT-20251008-172033-T19A</t>
  </si>
  <si>
    <t>1Su05NE3NbUhZ1PYcA3KmNQoKLpc2aS2m</t>
  </si>
  <si>
    <t>https://drive.google.com/file/d/1Su05NE3NbUhZ1PYcA3KmNQoKLpc2aS2m/view?usp=drivesdk</t>
  </si>
  <si>
    <t>CERT-20251008-172033-ZCZ9</t>
  </si>
  <si>
    <t>Veridiana Hertz gomes</t>
  </si>
  <si>
    <t>1Oi-yDm2wO7VQZ86IaE7VhSnEhLqZLbrv</t>
  </si>
  <si>
    <t>https://drive.google.com/file/d/1Oi-yDm2wO7VQZ86IaE7VhSnEhLqZLbrv/view?usp=drivesdk</t>
  </si>
  <si>
    <t>CERT-20251008-172033-06ID</t>
  </si>
  <si>
    <t xml:space="preserve">Yasmin Juliana dos Santos Epifaneo </t>
  </si>
  <si>
    <t>1_PWuP4fH3FUZ2SpPUb856huqoD-_Ty9K</t>
  </si>
  <si>
    <t>https://drive.google.com/file/d/1_PWuP4fH3FUZ2SpPUb856huqoD-_Ty9K/view?usp=drivesdk</t>
  </si>
  <si>
    <t>CERT-20251117-164343-ORSV</t>
  </si>
  <si>
    <t xml:space="preserve">Bruna Cristina melo guerim </t>
  </si>
  <si>
    <t>Cuidados com Estomias</t>
  </si>
  <si>
    <t xml:space="preserve">2 horas </t>
  </si>
  <si>
    <t>1wFNrmQ8zuhN6lsCjHYfqWIW2Fs_lpRDz</t>
  </si>
  <si>
    <t>https://drive.google.com/file/d/1wFNrmQ8zuhN6lsCjHYfqWIW2Fs_lpRDz/view?usp=drivesdk</t>
  </si>
  <si>
    <t>CERT-20251117-164343-WVG8</t>
  </si>
  <si>
    <t xml:space="preserve">Claudia Helena lindenmeyer </t>
  </si>
  <si>
    <t>1N_0unwTcQhg_NW-FonPkgfAfaEZacqmQ</t>
  </si>
  <si>
    <t>https://drive.google.com/file/d/1N_0unwTcQhg_NW-FonPkgfAfaEZacqmQ/view?usp=drivesdk</t>
  </si>
  <si>
    <t>CERT-20251117-164343-2Y3L</t>
  </si>
  <si>
    <t xml:space="preserve">Eduarda da Silva Mota chevarria </t>
  </si>
  <si>
    <t>1NHNbEwxUFM8IwOf9uSjpdINqnSLy23xl</t>
  </si>
  <si>
    <t>https://drive.google.com/file/d/1NHNbEwxUFM8IwOf9uSjpdINqnSLy23xl/view?usp=drivesdk</t>
  </si>
  <si>
    <t>CERT-20251117-164343-ZMGO</t>
  </si>
  <si>
    <t>Eliana Port</t>
  </si>
  <si>
    <t>1yfHPbmakgopyUjC8LcarhdQiYvyLgxH_</t>
  </si>
  <si>
    <t>https://drive.google.com/file/d/1yfHPbmakgopyUjC8LcarhdQiYvyLgxH_/view?usp=drivesdk</t>
  </si>
  <si>
    <t>CERT-20251117-164343-G2KD</t>
  </si>
  <si>
    <t>Ivonete cardoso</t>
  </si>
  <si>
    <t>1DXoZkNqwpyqkc4E5YfH3jl50LWXeZjaC</t>
  </si>
  <si>
    <t>https://drive.google.com/file/d/1DXoZkNqwpyqkc4E5YfH3jl50LWXeZjaC/view?usp=drivesdk</t>
  </si>
  <si>
    <t>CERT-20251117-164343-0FEH</t>
  </si>
  <si>
    <t xml:space="preserve">Jessica Priscila Lima Soares </t>
  </si>
  <si>
    <t>1vczPNA5gl6UzPFGntFIbjpAKwkqUE32U</t>
  </si>
  <si>
    <t>https://drive.google.com/file/d/1vczPNA5gl6UzPFGntFIbjpAKwkqUE32U/view?usp=drivesdk</t>
  </si>
  <si>
    <t>CERT-20251117-164343-CZ4R</t>
  </si>
  <si>
    <t>Joice Pedroso</t>
  </si>
  <si>
    <t>1vcELYpUbR2kEMeqi-UFR2j4NSDN9CeVo</t>
  </si>
  <si>
    <t>https://drive.google.com/file/d/1vcELYpUbR2kEMeqi-UFR2j4NSDN9CeVo/view?usp=drivesdk</t>
  </si>
  <si>
    <t>CERT-20251117-164343-93ML</t>
  </si>
  <si>
    <t>Juliana Vanessa fragoso caurio</t>
  </si>
  <si>
    <t>1Xt25a-K5MTFFARC5vZDvumVjCE6jROQp</t>
  </si>
  <si>
    <t>https://drive.google.com/file/d/1Xt25a-K5MTFFARC5vZDvumVjCE6jROQp/view?usp=drivesdk</t>
  </si>
  <si>
    <t>CERT-20251117-164343-IY8B</t>
  </si>
  <si>
    <t xml:space="preserve">Roberta Ribeiro schlusen </t>
  </si>
  <si>
    <t>1Bzee6eu5emYM7T6jAZskA1RFYDhKaCKZ</t>
  </si>
  <si>
    <t>https://drive.google.com/file/d/1Bzee6eu5emYM7T6jAZskA1RFYDhKaCKZ/view?usp=drivesdk</t>
  </si>
  <si>
    <t>CERT-20251117-164343-0D7Y</t>
  </si>
  <si>
    <t>Roseni Stein</t>
  </si>
  <si>
    <t>1FnmUUqPHU89xHYtdhI1-wJoaRXTUHxBl</t>
  </si>
  <si>
    <t>https://drive.google.com/file/d/1FnmUUqPHU89xHYtdhI1-wJoaRXTUHxBl/view?usp=drivesdk</t>
  </si>
  <si>
    <t>CERT-20251117-164343-HBQ3</t>
  </si>
  <si>
    <t xml:space="preserve">Sabrina Lazaretti </t>
  </si>
  <si>
    <t>1UR08ESMibTavCBkd1G_KeD1XlORQXqpd</t>
  </si>
  <si>
    <t>https://drive.google.com/file/d/1UR08ESMibTavCBkd1G_KeD1XlORQXqpd/view?usp=drivesdk</t>
  </si>
  <si>
    <t>CERT-20251117-164343-YSYC</t>
  </si>
  <si>
    <t>Sandra Germano Gonçalves</t>
  </si>
  <si>
    <t>1LCMvoKiuBI5ppVgHwk43mhV0Glu8bEww</t>
  </si>
  <si>
    <t>https://drive.google.com/file/d/1LCMvoKiuBI5ppVgHwk43mhV0Glu8bEww/view?usp=drivesdk</t>
  </si>
  <si>
    <t>CERT-20251117-164343-IU5X</t>
  </si>
  <si>
    <t xml:space="preserve">Soeli Maria Rohr Carreño </t>
  </si>
  <si>
    <t>1FMTUPZfgVzXPX0ouaSmYWj9j0cHiFr1h</t>
  </si>
  <si>
    <t>https://drive.google.com/file/d/1FMTUPZfgVzXPX0ouaSmYWj9j0cHiFr1h/view?usp=drivesdk</t>
  </si>
  <si>
    <t>CERT-20251117-164343-GHEK</t>
  </si>
  <si>
    <t xml:space="preserve">Thais Rondini da Silva </t>
  </si>
  <si>
    <t>1g2B-xKPL-AKxXK7GSAsGjqooQWpm0COQ</t>
  </si>
  <si>
    <t>https://drive.google.com/file/d/1g2B-xKPL-AKxXK7GSAsGjqooQWpm0COQ/view?usp=drivesdk</t>
  </si>
  <si>
    <t>CERT-20251117-164343-FHBE</t>
  </si>
  <si>
    <t xml:space="preserve">Vânia Schneider </t>
  </si>
  <si>
    <t>10a6bV2GlJK7P1HO322KNl1ST8MtA73A7</t>
  </si>
  <si>
    <t>https://drive.google.com/file/d/10a6bV2GlJK7P1HO322KNl1ST8MtA73A7/view?usp=drivesdk</t>
  </si>
  <si>
    <t>CERT-20251119-161541-OFD0</t>
  </si>
  <si>
    <t>Emissão direta sem Merged Doc ID</t>
  </si>
  <si>
    <t>https://drive.google.com/file/d/1Ux3EqMd4YbkRHD10Zm4VmqT8__txPiec/view?usp=drive_link</t>
  </si>
  <si>
    <t>Certif_Palestrante_Cuidados_Estomias_12112025_Davi</t>
  </si>
  <si>
    <t>CERT-20251119-161541-OFAN</t>
  </si>
  <si>
    <t>Ana Paula Mattos</t>
  </si>
  <si>
    <t>https://drive.google.com/file/d/1XUw3ygUsrIrCsWh8Czr6e8z378cOEADI/view?usp=drive_link</t>
  </si>
  <si>
    <t>Certif_Palestrante_Cuidados_Estomias_12112025_Anna</t>
  </si>
  <si>
    <t>CERT-20251119-161541-STBZ</t>
  </si>
  <si>
    <t>https://drive.google.com/file/d/1OKGMbxYDiRSue-dv38aiCDOQREaValHR/view?usp=drive_link</t>
  </si>
  <si>
    <t>Certif_Palestrante_Cuidados_Estomias_12112025_Sara</t>
  </si>
  <si>
    <t>CERT-20251121-083947-GU3M</t>
  </si>
  <si>
    <t xml:space="preserve">Carla Silva do Amaral </t>
  </si>
  <si>
    <t>Lesão por pressão</t>
  </si>
  <si>
    <t>1zwED4u89BoVMYg-JBydtzJK0QvzywuQs</t>
  </si>
  <si>
    <t>https://drive.google.com/file/d/1zwED4u89BoVMYg-JBydtzJK0QvzywuQs/view?usp=drivesdk</t>
  </si>
  <si>
    <t>CERT-20251121-083947-SLGU</t>
  </si>
  <si>
    <t xml:space="preserve">Karen Schreiber Nonnemacher </t>
  </si>
  <si>
    <t>19DHSDKrFGGbLJmmOnkJu2x8gPQ48-ilJ</t>
  </si>
  <si>
    <t>https://drive.google.com/file/d/19DHSDKrFGGbLJmmOnkJu2x8gPQ48-ilJ/view?usp=drivesdk</t>
  </si>
  <si>
    <t>CERT-20251121-083947-MH28</t>
  </si>
  <si>
    <t xml:space="preserve">Jéssica Fischer dos Santos </t>
  </si>
  <si>
    <t>1aNDphxb7f9-YTKYBdG4Kom466EWVF3Vy</t>
  </si>
  <si>
    <t>https://drive.google.com/file/d/1aNDphxb7f9-YTKYBdG4Kom466EWVF3Vy/view?usp=drivesdk</t>
  </si>
  <si>
    <t>CERT-20251121-083947-IZ0P</t>
  </si>
  <si>
    <t xml:space="preserve">César Rodrigo Oliveira </t>
  </si>
  <si>
    <t>1o2whf3rsAUx7A6lwGM6HqaouJV_EsS-5</t>
  </si>
  <si>
    <t>https://drive.google.com/file/d/1o2whf3rsAUx7A6lwGM6HqaouJV_EsS-5/view?usp=drivesdk</t>
  </si>
  <si>
    <t>CERT-20251121-083947-1ZGE</t>
  </si>
  <si>
    <t>Rosangela Vigel dos Santos</t>
  </si>
  <si>
    <t>1DGhXc_KY0zMUpODO1Kok-RbK9uJDKiVi</t>
  </si>
  <si>
    <t>https://drive.google.com/file/d/1DGhXc_KY0zMUpODO1Kok-RbK9uJDKiVi/view?usp=drivesdk</t>
  </si>
  <si>
    <t>CERT-20251121-083947-EHZ7</t>
  </si>
  <si>
    <t>Marcelo Vianna da Silva</t>
  </si>
  <si>
    <t>1hk844IpNnEf-l8rNewUaoLyl3gPXIw0q</t>
  </si>
  <si>
    <t>https://drive.google.com/file/d/1hk844IpNnEf-l8rNewUaoLyl3gPXIw0q/view?usp=drivesdk</t>
  </si>
  <si>
    <t>CERT-20251121-083947-0URK</t>
  </si>
  <si>
    <t xml:space="preserve">Maria da Graça Ávila </t>
  </si>
  <si>
    <t>1Urzx3KR4gMdRkg0E-wKRA2pBZXROUoq0</t>
  </si>
  <si>
    <t>https://drive.google.com/file/d/1Urzx3KR4gMdRkg0E-wKRA2pBZXROUoq0/view?usp=drivesdk</t>
  </si>
  <si>
    <t>CERT-20251121-085505-AUPP</t>
  </si>
  <si>
    <t xml:space="preserve">Bruno Felipe Batista Machado </t>
  </si>
  <si>
    <t>1zt9xAn5Jxb6lw2mYvePNhPCbGn5eVRrF</t>
  </si>
  <si>
    <t>https://drive.google.com/file/d/1zt9xAn5Jxb6lw2mYvePNhPCbGn5eVRrF/view?usp=drivesdk</t>
  </si>
  <si>
    <t>CERT-20251121-085505-KNUV</t>
  </si>
  <si>
    <t>Carla Claciele Domingues Watte</t>
  </si>
  <si>
    <t>1Xu4Bfjw783qi5VKBRde8AeM2pSF-Suo4</t>
  </si>
  <si>
    <t>https://drive.google.com/file/d/1Xu4Bfjw783qi5VKBRde8AeM2pSF-Suo4/view?usp=drivesdk</t>
  </si>
  <si>
    <t>CERT-20251121-085505-TJFD</t>
  </si>
  <si>
    <t xml:space="preserve">Claudia de Azevedo </t>
  </si>
  <si>
    <t>1WoU-V1s1t7t4aDJbgog3W3_hXhP6tFpL</t>
  </si>
  <si>
    <t>https://drive.google.com/file/d/1WoU-V1s1t7t4aDJbgog3W3_hXhP6tFpL/view?usp=drivesdk</t>
  </si>
  <si>
    <t>CERT-20251121-085505-XK6J</t>
  </si>
  <si>
    <t xml:space="preserve">Dioni Henicka Ritzel </t>
  </si>
  <si>
    <t>18ESQB08D7JDMmvCF5e3OJuCsI2FXzlQo</t>
  </si>
  <si>
    <t>https://drive.google.com/file/d/18ESQB08D7JDMmvCF5e3OJuCsI2FXzlQo/view?usp=drivesdk</t>
  </si>
  <si>
    <t>CERT-20251121-085505-QPG5</t>
  </si>
  <si>
    <t xml:space="preserve">Gerson Luis Martins </t>
  </si>
  <si>
    <t>19ZSbev-i6y_tCAMCHE7giB55R0J6YBhc</t>
  </si>
  <si>
    <t>https://drive.google.com/file/d/19ZSbev-i6y_tCAMCHE7giB55R0J6YBhc/view?usp=drivesdk</t>
  </si>
  <si>
    <t>CERT-20251121-085505-D3OM</t>
  </si>
  <si>
    <t xml:space="preserve">Jessica valentina Mello de Freitas </t>
  </si>
  <si>
    <t>1ZsnRV2BF4pMLD5UjPJ8WJ_J_I79RUuG0</t>
  </si>
  <si>
    <t>https://drive.google.com/file/d/1ZsnRV2BF4pMLD5UjPJ8WJ_J_I79RUuG0/view?usp=drivesdk</t>
  </si>
  <si>
    <t>CERT-20251121-085505-IRX7</t>
  </si>
  <si>
    <t xml:space="preserve">Juliana Regina Teixeira Cardoso </t>
  </si>
  <si>
    <t>1kF32JLLXHnORcm5ZLilotTHpStApobxD</t>
  </si>
  <si>
    <t>https://drive.google.com/file/d/1kF32JLLXHnORcm5ZLilotTHpStApobxD/view?usp=drivesdk</t>
  </si>
  <si>
    <t>CERT-20251121-085505-SQ5Q</t>
  </si>
  <si>
    <t>Letícia Fantinelli da Silva</t>
  </si>
  <si>
    <t>1aLAgjNOyw4sMpSl1WbMFqNmC3oMPM9F8</t>
  </si>
  <si>
    <t>https://drive.google.com/file/d/1aLAgjNOyw4sMpSl1WbMFqNmC3oMPM9F8/view?usp=drivesdk</t>
  </si>
  <si>
    <t>CERT-20251121-085505-NH6P</t>
  </si>
  <si>
    <t>1B2YgwiB9f7zsSIY0LbldhMHz0rpT-KIX</t>
  </si>
  <si>
    <t>https://drive.google.com/file/d/1B2YgwiB9f7zsSIY0LbldhMHz0rpT-KIX/view?usp=drivesdk</t>
  </si>
  <si>
    <t>CERT-20251121-085505-E5GR</t>
  </si>
  <si>
    <t xml:space="preserve">Mara Andréa Machado Zigiotto </t>
  </si>
  <si>
    <t>1GNS_t9XC9hd-m7U60qAGlRQpOO21lk_C</t>
  </si>
  <si>
    <t>https://drive.google.com/file/d/1GNS_t9XC9hd-m7U60qAGlRQpOO21lk_C/view?usp=drivesdk</t>
  </si>
  <si>
    <t>CERT-20251121-085505-GHM6</t>
  </si>
  <si>
    <t xml:space="preserve">Micheli Almeida de Couto </t>
  </si>
  <si>
    <t>1IqKTPQZX2IRg5v-THVFD2aN9SqyV-SgM</t>
  </si>
  <si>
    <t>https://drive.google.com/file/d/1IqKTPQZX2IRg5v-THVFD2aN9SqyV-SgM/view?usp=drivesdk</t>
  </si>
  <si>
    <t>CERT-20251121-085505-2YI4</t>
  </si>
  <si>
    <t>Rita de Cássia dos Santos</t>
  </si>
  <si>
    <t>1XKPavTG5lGOmvd1Jzx7sttJx7JXM6pxN</t>
  </si>
  <si>
    <t>https://drive.google.com/file/d/1XKPavTG5lGOmvd1Jzx7sttJx7JXM6pxN/view?usp=drivesdk</t>
  </si>
  <si>
    <t>CERT-20251121-091341-1WTY</t>
  </si>
  <si>
    <t>1PevKpkaG2OpNojvHWJWH4HJi-fOUajSj</t>
  </si>
  <si>
    <t>https://drive.google.com/file/d/1PevKpkaG2OpNojvHWJWH4HJi-fOUajSj/view?usp=drivesdk</t>
  </si>
  <si>
    <t>CERT-20251121-091341-PA3I</t>
  </si>
  <si>
    <t>Ana Carolina Deconto</t>
  </si>
  <si>
    <t>1RH0zndYjo3_9am0saM_3-9tNF3k0w_rx</t>
  </si>
  <si>
    <t>https://drive.google.com/file/d/1RH0zndYjo3_9am0saM_3-9tNF3k0w_rx/view?usp=drivesdk</t>
  </si>
  <si>
    <t>CERT-20251121-091341-0L32</t>
  </si>
  <si>
    <t xml:space="preserve">Angélica Luci Bortoloto Bittencourt </t>
  </si>
  <si>
    <t>1eXyBwS-xaoq5DUkIWhpyBEDxJaSs664-</t>
  </si>
  <si>
    <t>https://drive.google.com/file/d/1eXyBwS-xaoq5DUkIWhpyBEDxJaSs664-/view?usp=drivesdk</t>
  </si>
  <si>
    <t>CERT-20251121-091341-KR63</t>
  </si>
  <si>
    <t xml:space="preserve">Bruna da Silveira Moreira </t>
  </si>
  <si>
    <t>1LbnTYta8dmtaVXIRXcR8F1EvdUXME9Pb</t>
  </si>
  <si>
    <t>https://drive.google.com/file/d/1LbnTYta8dmtaVXIRXcR8F1EvdUXME9Pb/view?usp=drivesdk</t>
  </si>
  <si>
    <t>CERT-20251121-091341-82DB</t>
  </si>
  <si>
    <t>Bruno Pellicel Rolim</t>
  </si>
  <si>
    <t>1S1yzMc9I3FdPFbz9v44NTOP-NpYKkmmM</t>
  </si>
  <si>
    <t>https://drive.google.com/file/d/1S1yzMc9I3FdPFbz9v44NTOP-NpYKkmmM/view?usp=drivesdk</t>
  </si>
  <si>
    <t>CERT-20251121-091341-1HOI</t>
  </si>
  <si>
    <t xml:space="preserve">Cassiana do Prado </t>
  </si>
  <si>
    <t>1qbmUk7MurHqkq6HcY50fFtKxqiFezBVa</t>
  </si>
  <si>
    <t>https://drive.google.com/file/d/1qbmUk7MurHqkq6HcY50fFtKxqiFezBVa/view?usp=drivesdk</t>
  </si>
  <si>
    <t>CERT-20251121-091341-X7BG</t>
  </si>
  <si>
    <t xml:space="preserve">Cátia Elisa Alves Freitas </t>
  </si>
  <si>
    <t>1wyYLXxF5qaukR_w4sHJt8ZQmKfefiyKI</t>
  </si>
  <si>
    <t>https://drive.google.com/file/d/1wyYLXxF5qaukR_w4sHJt8ZQmKfefiyKI/view?usp=drivesdk</t>
  </si>
  <si>
    <t>CERT-20251121-091341-IUK3</t>
  </si>
  <si>
    <t xml:space="preserve">Cíntia Jaqueline Penha da Silva </t>
  </si>
  <si>
    <t>1G_oRbVm7DvQ-IGW5QWPksAmbbtrQNeyE</t>
  </si>
  <si>
    <t>https://drive.google.com/file/d/1G_oRbVm7DvQ-IGW5QWPksAmbbtrQNeyE/view?usp=drivesdk</t>
  </si>
  <si>
    <t>CERT-20251121-091341-3BV8</t>
  </si>
  <si>
    <t xml:space="preserve">Dulce Letiane Dornelles Ferreira Steinmetz </t>
  </si>
  <si>
    <t>1SOgyBVw9eKDNLnomHOIjN24p0EWty00f</t>
  </si>
  <si>
    <t>https://drive.google.com/file/d/1SOgyBVw9eKDNLnomHOIjN24p0EWty00f/view?usp=drivesdk</t>
  </si>
  <si>
    <t>CERT-20251121-091341-X52Q</t>
  </si>
  <si>
    <t xml:space="preserve">Elaine de Lourdes Cardoso </t>
  </si>
  <si>
    <t>1PIhm7F_GHnk8L8NIg77KDF2BC7DxZ2np</t>
  </si>
  <si>
    <t>https://drive.google.com/file/d/1PIhm7F_GHnk8L8NIg77KDF2BC7DxZ2np/view?usp=drivesdk</t>
  </si>
  <si>
    <t>CERT-20251121-091341-5GAE</t>
  </si>
  <si>
    <t>Elisa de Fátima Trazel</t>
  </si>
  <si>
    <t>1WB1BisxUXAEKvS_i0ROzBGxL1y7gO-xj</t>
  </si>
  <si>
    <t>https://drive.google.com/file/d/1WB1BisxUXAEKvS_i0ROzBGxL1y7gO-xj/view?usp=drivesdk</t>
  </si>
  <si>
    <t>CERT-20251121-091341-X6WI</t>
  </si>
  <si>
    <t xml:space="preserve">Flavia galdino de sousa davila </t>
  </si>
  <si>
    <t>17oV4iVTEHzpp2IlL8RlpjuzElQCAyx-e</t>
  </si>
  <si>
    <t>https://drive.google.com/file/d/17oV4iVTEHzpp2IlL8RlpjuzElQCAyx-e/view?usp=drivesdk</t>
  </si>
  <si>
    <t>CERT-20251121-091341-5SLY</t>
  </si>
  <si>
    <t xml:space="preserve">Henrique Gustavo Soares de Lima </t>
  </si>
  <si>
    <t>1L-2dmB1uYuRe8XGkei_jy9Ctg1d6eyL7</t>
  </si>
  <si>
    <t>https://drive.google.com/file/d/1L-2dmB1uYuRe8XGkei_jy9Ctg1d6eyL7/view?usp=drivesdk</t>
  </si>
  <si>
    <t>CERT-20251121-091341-MV6Z</t>
  </si>
  <si>
    <t>Jéssica Tais Vieira</t>
  </si>
  <si>
    <t>1bNj6Ba3zJCtbgghQ2eFkasg-AGLOHmuL</t>
  </si>
  <si>
    <t>https://drive.google.com/file/d/1bNj6Ba3zJCtbgghQ2eFkasg-AGLOHmuL/view?usp=drivesdk</t>
  </si>
  <si>
    <t>CERT-20251121-091341-QYOU</t>
  </si>
  <si>
    <t xml:space="preserve">Keli Langhammer </t>
  </si>
  <si>
    <t>1Dvloqlr7FAET4Ufb-mArc8U-cCWEYnwI</t>
  </si>
  <si>
    <t>https://drive.google.com/file/d/1Dvloqlr7FAET4Ufb-mArc8U-cCWEYnwI/view?usp=drivesdk</t>
  </si>
  <si>
    <t>CERT-20251121-091341-S4QC</t>
  </si>
  <si>
    <t xml:space="preserve">Kelly Aline Rodrigues </t>
  </si>
  <si>
    <t>1bjUnbyA0aS_cb_IAKetS572GTNbv2cBI</t>
  </si>
  <si>
    <t>https://drive.google.com/file/d/1bjUnbyA0aS_cb_IAKetS572GTNbv2cBI/view?usp=drivesdk</t>
  </si>
  <si>
    <t>CERT-20251121-091341-0KY2</t>
  </si>
  <si>
    <t>Lidiane hoffmann</t>
  </si>
  <si>
    <t>1LlD1GANv_91qiKdh6t7Pj24eEtm-5HmD</t>
  </si>
  <si>
    <t>https://drive.google.com/file/d/1LlD1GANv_91qiKdh6t7Pj24eEtm-5HmD/view?usp=drivesdk</t>
  </si>
  <si>
    <t>CERT-20251121-091341-BIC6</t>
  </si>
  <si>
    <t xml:space="preserve">Lisiane Soares de Mello </t>
  </si>
  <si>
    <t>1Eal4CO210n1z516q_WMWNf_rZeqSuHmX</t>
  </si>
  <si>
    <t>https://drive.google.com/file/d/1Eal4CO210n1z516q_WMWNf_rZeqSuHmX/view?usp=drivesdk</t>
  </si>
  <si>
    <t>CERT-20251121-091341-FKR8</t>
  </si>
  <si>
    <t xml:space="preserve">Loreni Puntel </t>
  </si>
  <si>
    <t>1npS--0s-0vSWLA4JwZ_cOSLUntMcB_fO</t>
  </si>
  <si>
    <t>https://drive.google.com/file/d/1npS--0s-0vSWLA4JwZ_cOSLUntMcB_fO/view?usp=drivesdk</t>
  </si>
  <si>
    <t>CERT-20251121-091341-IZML</t>
  </si>
  <si>
    <t xml:space="preserve">Luciana Trespach Porto </t>
  </si>
  <si>
    <t>13CQZBiJQrbGd9HfL5ZF0w5tGz7N2QdWP</t>
  </si>
  <si>
    <t>https://drive.google.com/file/d/13CQZBiJQrbGd9HfL5ZF0w5tGz7N2QdWP/view?usp=drivesdk</t>
  </si>
  <si>
    <t>CERT-20251121-091341-90V4</t>
  </si>
  <si>
    <t xml:space="preserve">Maria Carolina Ferreira </t>
  </si>
  <si>
    <t>1V8UtyKhgvSuEOjdw-7R1vSGsg0dSwsAX</t>
  </si>
  <si>
    <t>https://drive.google.com/file/d/1V8UtyKhgvSuEOjdw-7R1vSGsg0dSwsAX/view?usp=drivesdk</t>
  </si>
  <si>
    <t>CERT-20251121-091341-9LD1</t>
  </si>
  <si>
    <t>Marieta Aracélia Rodrigues Goulart</t>
  </si>
  <si>
    <t>1ZmIxUIx5Rg0qbS1UFfosDq_pDehaDvWy</t>
  </si>
  <si>
    <t>https://drive.google.com/file/d/1ZmIxUIx5Rg0qbS1UFfosDq_pDehaDvWy/view?usp=drivesdk</t>
  </si>
  <si>
    <t>CERT-20251121-091341-NPAC</t>
  </si>
  <si>
    <t xml:space="preserve">Miriam Madrid </t>
  </si>
  <si>
    <t>1rLsda9rO-nroq5PXyZ1JjmuoZjgSy2kz</t>
  </si>
  <si>
    <t>https://drive.google.com/file/d/1rLsda9rO-nroq5PXyZ1JjmuoZjgSy2kz/view?usp=drivesdk</t>
  </si>
  <si>
    <t>CERT-20251121-091341-ZY6E</t>
  </si>
  <si>
    <t xml:space="preserve">Natália Valéria Dias Tubiana </t>
  </si>
  <si>
    <t>1GUw6i7WMWxhcdvTilzhU6k0xqPRGLUg2</t>
  </si>
  <si>
    <t>https://drive.google.com/file/d/1GUw6i7WMWxhcdvTilzhU6k0xqPRGLUg2/view?usp=drivesdk</t>
  </si>
  <si>
    <t>CERT-20251121-091341-D1U3</t>
  </si>
  <si>
    <t xml:space="preserve">Rafaela Bueno Loterio </t>
  </si>
  <si>
    <t>1Cho5DM-eE1T41Hpzl4DvaWhDTCOXAj6o</t>
  </si>
  <si>
    <t>https://drive.google.com/file/d/1Cho5DM-eE1T41Hpzl4DvaWhDTCOXAj6o/view?usp=drivesdk</t>
  </si>
  <si>
    <t>CERT-20251121-091341-S3QN</t>
  </si>
  <si>
    <t xml:space="preserve">Rafaela Flores </t>
  </si>
  <si>
    <t>1MNtgDELADd5583Yh6-KBhnDz_vcANxRR</t>
  </si>
  <si>
    <t>https://drive.google.com/file/d/1MNtgDELADd5583Yh6-KBhnDz_vcANxRR/view?usp=drivesdk</t>
  </si>
  <si>
    <t>CERT-20251121-091341-YM0F</t>
  </si>
  <si>
    <t xml:space="preserve">Roselaine Fontoura da Silva </t>
  </si>
  <si>
    <t>1zvrwWhNC1iyDOVjZYMbHX44xmykxdLLD</t>
  </si>
  <si>
    <t>https://drive.google.com/file/d/1zvrwWhNC1iyDOVjZYMbHX44xmykxdLLD/view?usp=drivesdk</t>
  </si>
  <si>
    <t>CERT-20251121-091341-AQZ4</t>
  </si>
  <si>
    <t xml:space="preserve">Sara Júlia Franzon </t>
  </si>
  <si>
    <t>1MeYhTqteH-OCF96QOzvlJ_AODfOrjF6_</t>
  </si>
  <si>
    <t>https://drive.google.com/file/d/1MeYhTqteH-OCF96QOzvlJ_AODfOrjF6_/view?usp=drivesdk</t>
  </si>
  <si>
    <t>CERT-20251121-091341-BE5L</t>
  </si>
  <si>
    <t xml:space="preserve">Sheila Ferreira Gama </t>
  </si>
  <si>
    <t>11VcHfIKN8vfwVgi5BvYHm8tHQcepukV7</t>
  </si>
  <si>
    <t>https://drive.google.com/file/d/11VcHfIKN8vfwVgi5BvYHm8tHQcepukV7/view?usp=drivesdk</t>
  </si>
  <si>
    <t>CERT-20251121-091341-T6AY</t>
  </si>
  <si>
    <t>1H2CfJuqNP_BDS0i526Lunab2pzJsvaw9</t>
  </si>
  <si>
    <t>https://drive.google.com/file/d/1H2CfJuqNP_BDS0i526Lunab2pzJsvaw9/view?usp=drivesdk</t>
  </si>
  <si>
    <t>CERT-20251121-091341-YPZP</t>
  </si>
  <si>
    <t>Ubirajara  de paula</t>
  </si>
  <si>
    <t>1QRZaSB7VEH_HUK3SsLUeG0pNV3xRSsoq</t>
  </si>
  <si>
    <t>https://drive.google.com/file/d/1QRZaSB7VEH_HUK3SsLUeG0pNV3xRSsoq/view?usp=drivesdk</t>
  </si>
  <si>
    <t>CERT-20251121-091341-JVQ3</t>
  </si>
  <si>
    <t xml:space="preserve">Valeria Juliana Rener </t>
  </si>
  <si>
    <t>1XqfP7qFC1F7mtxyQv5htw7reoxCKv4eQ</t>
  </si>
  <si>
    <t>https://drive.google.com/file/d/1XqfP7qFC1F7mtxyQv5htw7reoxCKv4eQ/view?usp=drivesdk</t>
  </si>
  <si>
    <t>CERT-20251121-091341-FA32</t>
  </si>
  <si>
    <t xml:space="preserve">Vitória Daniele de Oliveira da Silva </t>
  </si>
  <si>
    <t>1bGKEL_gpI3rsDHM9FGmTdLgCj2oogyYJ</t>
  </si>
  <si>
    <t>https://drive.google.com/file/d/1bGKEL_gpI3rsDHM9FGmTdLgCj2oogyYJ/view?usp=drivesdk</t>
  </si>
  <si>
    <t>CERT-20251121-091341-RNVL</t>
  </si>
  <si>
    <t xml:space="preserve">Viviane Marta Borges vieira </t>
  </si>
  <si>
    <t>1XdqfSRBJH74as9XOnjsZS1gOuXRGnptx</t>
  </si>
  <si>
    <t>https://drive.google.com/file/d/1XdqfSRBJH74as9XOnjsZS1gOuXRGnptx/view?usp=drivesdk</t>
  </si>
  <si>
    <t>CERT-20251121-091341-EZH0</t>
  </si>
  <si>
    <t xml:space="preserve">William Felipe Reis da Silva </t>
  </si>
  <si>
    <t>1sMH0bZm8jPz5uTYL3G8dWdRXbE0hu1El</t>
  </si>
  <si>
    <t>https://drive.google.com/file/d/1sMH0bZm8jPz5uTYL3G8dWdRXbE0hu1El/view?usp=drivesdk</t>
  </si>
  <si>
    <t>CERT-20251121-100815-JOJF</t>
  </si>
  <si>
    <t>Ana Carolina Kohler</t>
  </si>
  <si>
    <t>Roda de Conversa em Saúde Mental</t>
  </si>
  <si>
    <t>1dLVGEFfIKdsLd3NiPz8z-KnEb-yj1oDt</t>
  </si>
  <si>
    <t>https://drive.google.com/file/d/1dLVGEFfIKdsLd3NiPz8z-KnEb-yj1oDt/view?usp=drivesdk</t>
  </si>
  <si>
    <t>CERT-20251121-100815-RJ08</t>
  </si>
  <si>
    <t>1vf6IeSXs5gcyG9WRE-CL5r6PlEdFkuQD</t>
  </si>
  <si>
    <t>https://drive.google.com/file/d/1vf6IeSXs5gcyG9WRE-CL5r6PlEdFkuQD/view?usp=drivesdk</t>
  </si>
  <si>
    <t>CERT-20251121-100815-EO44</t>
  </si>
  <si>
    <t xml:space="preserve">Bruna Inajara Rodrigues do Nascimento </t>
  </si>
  <si>
    <t>1LYEa3IeBABboVjaK1Yo-pyJ940-m5E0r</t>
  </si>
  <si>
    <t>https://drive.google.com/file/d/1LYEa3IeBABboVjaK1Yo-pyJ940-m5E0r/view?usp=drivesdk</t>
  </si>
  <si>
    <t>CERT-20251121-100815-VEOR</t>
  </si>
  <si>
    <t>17OQqGqY-fcxk2LwiWLjcI8VA_o6bj53D</t>
  </si>
  <si>
    <t>https://drive.google.com/file/d/17OQqGqY-fcxk2LwiWLjcI8VA_o6bj53D/view?usp=drivesdk</t>
  </si>
  <si>
    <t>CERT-20251121-100815-6Q4P</t>
  </si>
  <si>
    <t>1Eb4yPQO9PnmS7h8W8A6sGOvJ_5V4KP5C</t>
  </si>
  <si>
    <t>https://drive.google.com/file/d/1Eb4yPQO9PnmS7h8W8A6sGOvJ_5V4KP5C/view?usp=drivesdk</t>
  </si>
  <si>
    <t>CERT-20251121-100815-FS8C</t>
  </si>
  <si>
    <t xml:space="preserve">Celeste Teresinha Ferraz Neves de Mattos </t>
  </si>
  <si>
    <t>173ES37t-oY1KW0rqf1_Qd2QS_q5SX73E</t>
  </si>
  <si>
    <t>https://drive.google.com/file/d/173ES37t-oY1KW0rqf1_Qd2QS_q5SX73E/view?usp=drivesdk</t>
  </si>
  <si>
    <t>CERT-20251121-100815-DJPT</t>
  </si>
  <si>
    <t>1L9uOSwR3ruJqEklsm-yighJHdud85x3_</t>
  </si>
  <si>
    <t>https://drive.google.com/file/d/1L9uOSwR3ruJqEklsm-yighJHdud85x3_/view?usp=drivesdk</t>
  </si>
  <si>
    <t>CERT-20251121-100815-B7HS</t>
  </si>
  <si>
    <t xml:space="preserve">Daiana Passos </t>
  </si>
  <si>
    <t>13b64Gjdiq1rEZDhMH3yLDArJO7eciXeH</t>
  </si>
  <si>
    <t>https://drive.google.com/file/d/13b64Gjdiq1rEZDhMH3yLDArJO7eciXeH/view?usp=drivesdk</t>
  </si>
  <si>
    <t>CERT-20251121-100815-E51Z</t>
  </si>
  <si>
    <t>Escarleth Moroni</t>
  </si>
  <si>
    <t>1isESMlJF0B1lPpqoDOFCbjOcSTxhhG7V</t>
  </si>
  <si>
    <t>https://drive.google.com/file/d/1isESMlJF0B1lPpqoDOFCbjOcSTxhhG7V/view?usp=drivesdk</t>
  </si>
  <si>
    <t>CERT-20251121-100815-KE6W</t>
  </si>
  <si>
    <t xml:space="preserve">Henrique Klein </t>
  </si>
  <si>
    <t>1tssErETEnF1fbLvPdrwP__ZnJFTSJVq9</t>
  </si>
  <si>
    <t>https://drive.google.com/file/d/1tssErETEnF1fbLvPdrwP__ZnJFTSJVq9/view?usp=drivesdk</t>
  </si>
  <si>
    <t>CERT-20251121-100815-HDYN</t>
  </si>
  <si>
    <t xml:space="preserve">Jeferson Luis Quaresma Land </t>
  </si>
  <si>
    <t>1cNhUao2Ff2-1dstJO1s4t96hCvWkrwew</t>
  </si>
  <si>
    <t>https://drive.google.com/file/d/1cNhUao2Ff2-1dstJO1s4t96hCvWkrwew/view?usp=drivesdk</t>
  </si>
  <si>
    <t>CERT-20251121-100815-WLX5</t>
  </si>
  <si>
    <t xml:space="preserve">José Henrique de Oliveira Dantas Machado </t>
  </si>
  <si>
    <t>1cKkU-CUYkvcNpEw3GkNy00TOg69njeoW</t>
  </si>
  <si>
    <t>https://drive.google.com/file/d/1cKkU-CUYkvcNpEw3GkNy00TOg69njeoW/view?usp=drivesdk</t>
  </si>
  <si>
    <t>CERT-20251121-100815-G966</t>
  </si>
  <si>
    <t>160W1ui57fnc0lRbey2FxSzHvylCiqrMj</t>
  </si>
  <si>
    <t>https://drive.google.com/file/d/160W1ui57fnc0lRbey2FxSzHvylCiqrMj/view?usp=drivesdk</t>
  </si>
  <si>
    <t>CERT-20251121-100815-DC4C</t>
  </si>
  <si>
    <t xml:space="preserve">Julia Gabriela Morinelli da Silva </t>
  </si>
  <si>
    <t>1yIBa1rwudoiphlO0uvH_UyPurGU6mHQG</t>
  </si>
  <si>
    <t>https://drive.google.com/file/d/1yIBa1rwudoiphlO0uvH_UyPurGU6mHQG/view?usp=drivesdk</t>
  </si>
  <si>
    <t>CERT-20251121-100815-DDKU</t>
  </si>
  <si>
    <t xml:space="preserve">Karine Bruschi da Silva </t>
  </si>
  <si>
    <t>1z4GfmiZTTOIUpH8cVel8JhXPOMOzRqJG</t>
  </si>
  <si>
    <t>https://drive.google.com/file/d/1z4GfmiZTTOIUpH8cVel8JhXPOMOzRqJG/view?usp=drivesdk</t>
  </si>
  <si>
    <t>CERT-20251121-100815-G58I</t>
  </si>
  <si>
    <t xml:space="preserve">Lisiane Rocha Lenhardt </t>
  </si>
  <si>
    <t>1eJ-qUFuNu0HJZKinbA8Tdv4nnSVuIbbU</t>
  </si>
  <si>
    <t>https://drive.google.com/file/d/1eJ-qUFuNu0HJZKinbA8Tdv4nnSVuIbbU/view?usp=drivesdk</t>
  </si>
  <si>
    <t>CERT-20251121-100815-4B8S</t>
  </si>
  <si>
    <t>1rnl7TwFtjsNe82fvs2wYqda2WPdIC2RI</t>
  </si>
  <si>
    <t>https://drive.google.com/file/d/1rnl7TwFtjsNe82fvs2wYqda2WPdIC2RI/view?usp=drivesdk</t>
  </si>
  <si>
    <t>CERT-20251121-100815-LI4L</t>
  </si>
  <si>
    <t xml:space="preserve">Manoela Maciel </t>
  </si>
  <si>
    <t>1ohHOZEZ4Y2GPyGNl2J-_JwVgrnm0PcUs</t>
  </si>
  <si>
    <t>https://drive.google.com/file/d/1ohHOZEZ4Y2GPyGNl2J-_JwVgrnm0PcUs/view?usp=drivesdk</t>
  </si>
  <si>
    <t>CERT-20251121-100815-98HW</t>
  </si>
  <si>
    <t xml:space="preserve">Marli Fernandes do Amaral </t>
  </si>
  <si>
    <t>1eEVqmfkW3iSo0LGHzQPfGYnJywrx5Miv</t>
  </si>
  <si>
    <t>https://drive.google.com/file/d/1eEVqmfkW3iSo0LGHzQPfGYnJywrx5Miv/view?usp=drivesdk</t>
  </si>
  <si>
    <t>CERT-20251121-100815-XPXV</t>
  </si>
  <si>
    <t>1wZPyNAXVIdnIULXCc5ijClVOkmznI_H1</t>
  </si>
  <si>
    <t>https://drive.google.com/file/d/1wZPyNAXVIdnIULXCc5ijClVOkmznI_H1/view?usp=drivesdk</t>
  </si>
  <si>
    <t>CERT-20251121-100815-CYIX</t>
  </si>
  <si>
    <t xml:space="preserve">Paulo Henrique Rodrigues Machado </t>
  </si>
  <si>
    <t>11NRWcXfWHtfGNie7ijVlOhKhG3rC_xtY</t>
  </si>
  <si>
    <t>https://drive.google.com/file/d/11NRWcXfWHtfGNie7ijVlOhKhG3rC_xtY/view?usp=drivesdk</t>
  </si>
  <si>
    <t>CERT-20251121-100815-MQCJ</t>
  </si>
  <si>
    <t xml:space="preserve">Renata Patricia Pereira Silva </t>
  </si>
  <si>
    <t>1y0b7w7id1cFUN-ASH1vQBFNhmwo9jvUE</t>
  </si>
  <si>
    <t>https://drive.google.com/file/d/1y0b7w7id1cFUN-ASH1vQBFNhmwo9jvUE/view?usp=drivesdk</t>
  </si>
  <si>
    <t>CERT-20251121-100815-G9O6</t>
  </si>
  <si>
    <t xml:space="preserve">Samanta Glass </t>
  </si>
  <si>
    <t>1LwGaIIjuGQXoGOmzyAInrVoDs125rO-k</t>
  </si>
  <si>
    <t>https://drive.google.com/file/d/1LwGaIIjuGQXoGOmzyAInrVoDs125rO-k/view?usp=drivesdk</t>
  </si>
  <si>
    <t>CERT-20251121-100815-SX5M</t>
  </si>
  <si>
    <t>1Up2ogffrOB6W07Wmi2N2EvBs8Zv4QBM_</t>
  </si>
  <si>
    <t>https://drive.google.com/file/d/1Up2ogffrOB6W07Wmi2N2EvBs8Zv4QBM_/view?usp=drivesdk</t>
  </si>
  <si>
    <t>CERT-20251121-100815-LM66</t>
  </si>
  <si>
    <t>Sara Reis</t>
  </si>
  <si>
    <t>1d38Qp3WUzk7_KPNfqPGZ5oCCsBd3R0c6</t>
  </si>
  <si>
    <t>https://drive.google.com/file/d/1d38Qp3WUzk7_KPNfqPGZ5oCCsBd3R0c6/view?usp=drivesdk</t>
  </si>
  <si>
    <t>CERT-20251121-100815-I3MY</t>
  </si>
  <si>
    <t>1B22nR8G9H2WIDBcaC3y_Tu9nb8ritwx3</t>
  </si>
  <si>
    <t>https://drive.google.com/file/d/1B22nR8G9H2WIDBcaC3y_Tu9nb8ritwx3/view?usp=drivesdk</t>
  </si>
  <si>
    <t>CERT-20251121-100815-XDJ7</t>
  </si>
  <si>
    <t>1vb1PGXt1Tj29_NSRUPqXKklT7vK0rCAh</t>
  </si>
  <si>
    <t>https://drive.google.com/file/d/1vb1PGXt1Tj29_NSRUPqXKklT7vK0rCAh/view?usp=drivesdk</t>
  </si>
  <si>
    <t>CERT-20251121-100815-I0U2</t>
  </si>
  <si>
    <t xml:space="preserve">Tanize Cezar Priebe </t>
  </si>
  <si>
    <t>1tkcxb54JWKRNpJHLmMaxqlUtVd1bR-a2</t>
  </si>
  <si>
    <t>https://drive.google.com/file/d/1tkcxb54JWKRNpJHLmMaxqlUtVd1bR-a2/view?usp=drivesdk</t>
  </si>
  <si>
    <t>CERT-20251121-110638-1V6H</t>
  </si>
  <si>
    <t>Carmem Lúcia dos Santos</t>
  </si>
  <si>
    <t>Isolamentos</t>
  </si>
  <si>
    <t>14-EUL9qYjQ9uOjhdBnQ3LrRPPIK5f31R</t>
  </si>
  <si>
    <t>https://drive.google.com/file/d/14-EUL9qYjQ9uOjhdBnQ3LrRPPIK5f31R/view?usp=drivesdk</t>
  </si>
  <si>
    <t>CERT-20251121-110638-LQLK</t>
  </si>
  <si>
    <t>1_eMOJCZjaDdnTcY56eKQhKtURPEFdfag</t>
  </si>
  <si>
    <t>https://drive.google.com/file/d/1_eMOJCZjaDdnTcY56eKQhKtURPEFdfag/view?usp=drivesdk</t>
  </si>
  <si>
    <t>CERT-20251121-110638-0EQ8</t>
  </si>
  <si>
    <t>1icmKdZzno9iL56fA0tMtNUtr1Yypp1dy</t>
  </si>
  <si>
    <t>https://drive.google.com/file/d/1icmKdZzno9iL56fA0tMtNUtr1Yypp1dy/view?usp=drivesdk</t>
  </si>
  <si>
    <t>CERT-20251121-110638-N0H8</t>
  </si>
  <si>
    <t>1zA3kIwsqW14nzejgZZFDpYqqt-8d9VqH</t>
  </si>
  <si>
    <t>https://drive.google.com/file/d/1zA3kIwsqW14nzejgZZFDpYqqt-8d9VqH/view?usp=drivesdk</t>
  </si>
  <si>
    <t>CERT-20251121-110638-GM3J</t>
  </si>
  <si>
    <t xml:space="preserve">Daniela Aparecida da Silva </t>
  </si>
  <si>
    <t>1ZkhE7vXc5JHD4fvRhdZp2juUdS8Oot8J</t>
  </si>
  <si>
    <t>https://drive.google.com/file/d/1ZkhE7vXc5JHD4fvRhdZp2juUdS8Oot8J/view?usp=drivesdk</t>
  </si>
  <si>
    <t>CERT-20251121-110638-81SO</t>
  </si>
  <si>
    <t xml:space="preserve">Dyovanna Karollini de Matos Ardenghi </t>
  </si>
  <si>
    <t>1HGAHVrTQCKxEeNoNWCIwVLvX73_g4g3n</t>
  </si>
  <si>
    <t>https://drive.google.com/file/d/1HGAHVrTQCKxEeNoNWCIwVLvX73_g4g3n/view?usp=drivesdk</t>
  </si>
  <si>
    <t>CERT-20251121-110638-WPYC</t>
  </si>
  <si>
    <t>12Yfn8Vl0WaCdSZpGfSU2Ut1SNmrHgqeJ</t>
  </si>
  <si>
    <t>https://drive.google.com/file/d/12Yfn8Vl0WaCdSZpGfSU2Ut1SNmrHgqeJ/view?usp=drivesdk</t>
  </si>
  <si>
    <t>CERT-20251121-110638-NU1W</t>
  </si>
  <si>
    <t>1PYQNoZWdwFAiDQ2oVVMWgawXBrJ0MPEv</t>
  </si>
  <si>
    <t>https://drive.google.com/file/d/1PYQNoZWdwFAiDQ2oVVMWgawXBrJ0MPEv/view?usp=drivesdk</t>
  </si>
  <si>
    <t>CERT-20251121-110638-JT4Z</t>
  </si>
  <si>
    <t>Joana Dalva da Silva</t>
  </si>
  <si>
    <t>14kVqfZ2DF28c4M8_Np-gEXiN3knglAZH</t>
  </si>
  <si>
    <t>https://drive.google.com/file/d/14kVqfZ2DF28c4M8_Np-gEXiN3knglAZH/view?usp=drivesdk</t>
  </si>
  <si>
    <t>CERT-20251121-110638-342Y</t>
  </si>
  <si>
    <t xml:space="preserve">Lucilene de Cassia Dorneles Alegre </t>
  </si>
  <si>
    <t>14UNSphzNbTRvlSlechOruxKBeMmRCNc1</t>
  </si>
  <si>
    <t>https://drive.google.com/file/d/14UNSphzNbTRvlSlechOruxKBeMmRCNc1/view?usp=drivesdk</t>
  </si>
  <si>
    <t>CERT-20251121-110638-WHGX</t>
  </si>
  <si>
    <t xml:space="preserve">Mariana Blume Vidal </t>
  </si>
  <si>
    <t>1Ms2S3x2TTdZKjMZ8SW_m-EB4St5f5pOb</t>
  </si>
  <si>
    <t>https://drive.google.com/file/d/1Ms2S3x2TTdZKjMZ8SW_m-EB4St5f5pOb/view?usp=drivesdk</t>
  </si>
  <si>
    <t>CERT-20251121-110638-W1K2</t>
  </si>
  <si>
    <t xml:space="preserve">Mariane da Silva Santos Teixeira </t>
  </si>
  <si>
    <t>1Bk9nkwegcaDHya4MkIPcw9DcnEPaUVt5</t>
  </si>
  <si>
    <t>https://drive.google.com/file/d/1Bk9nkwegcaDHya4MkIPcw9DcnEPaUVt5/view?usp=drivesdk</t>
  </si>
  <si>
    <t>CERT-20251121-110638-4GSX</t>
  </si>
  <si>
    <t>1JqQTO16mY41CrLRZiDs7w2m8uorcnbSa</t>
  </si>
  <si>
    <t>https://drive.google.com/file/d/1JqQTO16mY41CrLRZiDs7w2m8uorcnbSa/view?usp=drivesdk</t>
  </si>
  <si>
    <t>CERT-20251121-110638-Y9ZF</t>
  </si>
  <si>
    <t xml:space="preserve">Queli Morgana Marques </t>
  </si>
  <si>
    <t>1gHx3YjBVpBF6Ri2oWhxe8Giymu4NSIHy</t>
  </si>
  <si>
    <t>https://drive.google.com/file/d/1gHx3YjBVpBF6Ri2oWhxe8Giymu4NSIHy/view?usp=drivesdk</t>
  </si>
  <si>
    <t>CERT-20251121-110638-65G4</t>
  </si>
  <si>
    <t>1KMqd1S6OpOgM-4IqGaVgsrdwp7hQQ3a_</t>
  </si>
  <si>
    <t>https://drive.google.com/file/d/1KMqd1S6OpOgM-4IqGaVgsrdwp7hQQ3a_/view?usp=drivesdk</t>
  </si>
  <si>
    <t>CERT-20251121-110638-ZKHO</t>
  </si>
  <si>
    <t xml:space="preserve">Rosieli Maria Giacomelli </t>
  </si>
  <si>
    <t>1cR1pcZObwVQ1JGfNCcKnMf6XQhr4S-5u</t>
  </si>
  <si>
    <t>https://drive.google.com/file/d/1cR1pcZObwVQ1JGfNCcKnMf6XQhr4S-5u/view?usp=drivesdk</t>
  </si>
  <si>
    <t>CERT-20251121-110638-2PSE</t>
  </si>
  <si>
    <t>Sabrina Lazzaretti</t>
  </si>
  <si>
    <t>1cdWOqeAYEuvZzil6srn0PfjNDQDWohgw</t>
  </si>
  <si>
    <t>https://drive.google.com/file/d/1cdWOqeAYEuvZzil6srn0PfjNDQDWohgw/view?usp=drivesdk</t>
  </si>
  <si>
    <t>CERT-20251121-110638-6DWY</t>
  </si>
  <si>
    <t>Sandra Regina Bitello</t>
  </si>
  <si>
    <t>1rZ75ghgdJpzjhv3a-9-78Q6o5lPpxGts</t>
  </si>
  <si>
    <t>https://drive.google.com/file/d/1rZ75ghgdJpzjhv3a-9-78Q6o5lPpxGts/view?usp=drivesdk</t>
  </si>
  <si>
    <t>CERT-20251121-110638-M6NS</t>
  </si>
  <si>
    <t>1KvaotDw5U3t4K6KT3lUMFtOFq82xEnGD</t>
  </si>
  <si>
    <t>https://drive.google.com/file/d/1KvaotDw5U3t4K6KT3lUMFtOFq82xEnGD/view?usp=drivesdk</t>
  </si>
  <si>
    <t>CERT-20251121-110638-TILX</t>
  </si>
  <si>
    <t xml:space="preserve">Suellen Yvila Simeao do Carmo </t>
  </si>
  <si>
    <t>1qXQp43YISyyFtTCPWX0K9is159Ve6gpv</t>
  </si>
  <si>
    <t>https://drive.google.com/file/d/1qXQp43YISyyFtTCPWX0K9is159Ve6gpv/view?usp=drivesdk</t>
  </si>
  <si>
    <t>CERT-20251121-110638-OW49</t>
  </si>
  <si>
    <t>1idd60KBMCcXr5qWz9GAO7_FZf3Sa0jfK</t>
  </si>
  <si>
    <t>https://drive.google.com/file/d/1idd60KBMCcXr5qWz9GAO7_FZf3Sa0jfK/view?usp=drivesdk</t>
  </si>
  <si>
    <t>CERT-20251121-110638-3TPR</t>
  </si>
  <si>
    <t>1u30seyg88MforMYjkfolK4G6UVPcwI01</t>
  </si>
  <si>
    <t>https://drive.google.com/file/d/1u30seyg88MforMYjkfolK4G6UVPcwI01/view?usp=drivesdk</t>
  </si>
  <si>
    <t>CERT-20251121-110638-Z9KH</t>
  </si>
  <si>
    <t xml:space="preserve">Vivian Daniele Witt de Almeida </t>
  </si>
  <si>
    <t>1oKL48vg6ev5X_XyIqHseh6i5xRfjdzP7</t>
  </si>
  <si>
    <t>https://drive.google.com/file/d/1oKL48vg6ev5X_XyIqHseh6i5xRfjdzP7/view?usp=drivesdk</t>
  </si>
  <si>
    <t>CERT-20251121-110638-4VZV</t>
  </si>
  <si>
    <t>Viviane Vieira</t>
  </si>
  <si>
    <t>115Wl2fJ1XDDpULa_fLS0H5FmncKkTO6l</t>
  </si>
  <si>
    <t>https://drive.google.com/file/d/115Wl2fJ1XDDpULa_fLS0H5FmncKkTO6l/view?usp=drivesdk</t>
  </si>
  <si>
    <t>CERT-20251121-114715-Q638</t>
  </si>
  <si>
    <t xml:space="preserve">Daniele Coitinho dos Reis </t>
  </si>
  <si>
    <t>1wpVQHnk-sVpluEvaJOtJqBaOzlTmaq1M</t>
  </si>
  <si>
    <t>https://drive.google.com/file/d/1wpVQHnk-sVpluEvaJOtJqBaOzlTmaq1M/view?usp=drivesdk</t>
  </si>
  <si>
    <t>CERT-20251121-114715-89D0</t>
  </si>
  <si>
    <t xml:space="preserve">Eliete Rodrigues dos Santos </t>
  </si>
  <si>
    <t>1AeJctHpW10yFWfFe6Ecv75zfTo30dPcq</t>
  </si>
  <si>
    <t>https://drive.google.com/file/d/1AeJctHpW10yFWfFe6Ecv75zfTo30dPcq/view?usp=drivesdk</t>
  </si>
  <si>
    <t>CERT-20251121-114715-DYMZ</t>
  </si>
  <si>
    <t xml:space="preserve">Flávia Raquel Picoli </t>
  </si>
  <si>
    <t>1y_q0E6cPIVqv3OlnYWWawZ5TfFpO__3n</t>
  </si>
  <si>
    <t>https://drive.google.com/file/d/1y_q0E6cPIVqv3OlnYWWawZ5TfFpO__3n/view?usp=drivesdk</t>
  </si>
  <si>
    <t>CERT-20251121-114715-U3NR</t>
  </si>
  <si>
    <t xml:space="preserve">Lisiane Silva da Silva </t>
  </si>
  <si>
    <t>1XIk0u2qXDlELXHuBxoWy7W2lgT62zISn</t>
  </si>
  <si>
    <t>https://drive.google.com/file/d/1XIk0u2qXDlELXHuBxoWy7W2lgT62zISn/view?usp=drivesdk</t>
  </si>
  <si>
    <t>CERT-20251121-114715-HH3J</t>
  </si>
  <si>
    <t>1gHNl4xIQNKYmaF87DNkrARNkmmpZDmoC</t>
  </si>
  <si>
    <t>https://drive.google.com/file/d/1gHNl4xIQNKYmaF87DNkrARNkmmpZDmoC/view?usp=drivesdk</t>
  </si>
  <si>
    <t>CERT-20251121-114715-HCOV</t>
  </si>
  <si>
    <t xml:space="preserve">Renata Breda Martins </t>
  </si>
  <si>
    <t>1paEMw6uYom5fEKYIxGpmwtwnGhkOyGge</t>
  </si>
  <si>
    <t>https://drive.google.com/file/d/1paEMw6uYom5fEKYIxGpmwtwnGhkOyGge/view?usp=drivesdk</t>
  </si>
  <si>
    <t>CERT-20251121-114715-R4S7</t>
  </si>
  <si>
    <t>Sabrina Silva De Souza Lazzaretti</t>
  </si>
  <si>
    <t>1F0PYYLfUC3VaGWJ035EA6FBS7nFTQYqx</t>
  </si>
  <si>
    <t>https://drive.google.com/file/d/1F0PYYLfUC3VaGWJ035EA6FBS7nFTQYqx/view?usp=drivesdk</t>
  </si>
  <si>
    <t>CERT-20251121-114715-X8R8</t>
  </si>
  <si>
    <t xml:space="preserve">Sofia Hansen Nunes </t>
  </si>
  <si>
    <t>1nxzryUXjWpXD5HKxLxZZGeI1aaykkiTf</t>
  </si>
  <si>
    <t>https://drive.google.com/file/d/1nxzryUXjWpXD5HKxLxZZGeI1aaykkiTf/view?usp=drivesdk</t>
  </si>
  <si>
    <t>CERT-20251121-114715-JDWZ</t>
  </si>
  <si>
    <t>188LLHp6Qyk1Whguqta2QSUueeC_taOWn</t>
  </si>
  <si>
    <t>https://drive.google.com/file/d/188LLHp6Qyk1Whguqta2QSUueeC_taOWn/view?usp=drivesdk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</si>
</sst>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7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theme="1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52">
    <border/>
    <border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000000"/>
      </bottom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000000"/>
      </bottom>
    </border>
    <border>
      <right style="thin">
        <color rgb="FFFCE8B2"/>
      </right>
      <top style="thin">
        <color rgb="FFFCE8B2"/>
      </top>
      <bottom style="thin">
        <color rgb="FFFCE8B2"/>
      </bottom>
    </border>
    <border>
      <right style="thin">
        <color rgb="FFFCE8B2"/>
      </right>
      <top style="thin">
        <color rgb="FFFCE8B2"/>
      </top>
      <bottom style="thin">
        <color rgb="FF000000"/>
      </bottom>
    </border>
    <border>
      <left style="thin">
        <color rgb="FFF8F9FA"/>
      </left>
      <right style="thin">
        <color rgb="FF000000"/>
      </right>
      <top style="thin">
        <color rgb="FFF8F9FA"/>
      </top>
      <bottom style="thin">
        <color rgb="FF442F65"/>
      </bottom>
    </border>
    <border>
      <right style="thin">
        <color rgb="FFFFD966"/>
      </right>
      <top style="thin">
        <color rgb="FFFFD966"/>
      </top>
      <bottom style="thin">
        <color rgb="FFFFD966"/>
      </bottom>
    </border>
    <border>
      <right style="thin">
        <color rgb="FFFFD966"/>
      </right>
      <top style="thin">
        <color rgb="FFFFD966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000000"/>
      </right>
      <top style="thin">
        <color rgb="FFF8F9FA"/>
      </top>
    </border>
    <border>
      <right style="thin">
        <color rgb="FFF8F9FA"/>
      </right>
      <top style="thin">
        <color rgb="FFF8F9FA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8F9FA"/>
      </top>
      <bottom style="thin">
        <color rgb="FFF8F9FA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000000"/>
      </right>
      <top style="thin">
        <color rgb="FFFFFFFF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F8F9FA"/>
      </bottom>
    </border>
    <border>
      <left style="thin">
        <color rgb="FF000000"/>
      </left>
      <right style="thin">
        <color rgb="FF000000"/>
      </right>
      <top style="thin">
        <color rgb="FFFFFFFF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2CC"/>
      </right>
      <top style="thin">
        <color rgb="FFFFF2CC"/>
      </top>
      <bottom style="thin">
        <color rgb="FFFFF2CC"/>
      </bottom>
    </border>
    <border>
      <right style="thin">
        <color rgb="FFFFF2CC"/>
      </right>
      <top style="thin">
        <color rgb="FFFFF2CC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FFFFFF"/>
      </left>
      <right style="thin">
        <color rgb="FF000000"/>
      </right>
      <bottom style="thin">
        <color rgb="FFFFFFFF"/>
      </bottom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</border>
    <border>
      <left style="thin">
        <color rgb="FFFFF2CC"/>
      </left>
      <right style="thin">
        <color rgb="FFFFF2CC"/>
      </right>
      <top style="thin">
        <color rgb="FFFFF2CC"/>
      </top>
      <bottom style="thin">
        <color rgb="FFFFF2CC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F8F9FA"/>
      </left>
      <right style="thin">
        <color rgb="FFF8F9FA"/>
      </right>
      <bottom style="thin">
        <color rgb="FFF8F9FA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2" fontId="2" numFmtId="0" xfId="0" applyAlignment="1" applyBorder="1" applyFill="1" applyFont="1">
      <alignment horizontal="center" shrinkToFit="0" vertical="center" wrapText="0"/>
    </xf>
    <xf borderId="3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2" fillId="2" fontId="2" numFmtId="0" xfId="0" applyAlignment="1" applyBorder="1" applyFont="1">
      <alignment horizontal="left" shrinkToFit="0" vertical="center" wrapText="0"/>
    </xf>
    <xf borderId="2" fillId="2" fontId="3" numFmtId="0" xfId="0" applyAlignment="1" applyBorder="1" applyFont="1">
      <alignment horizontal="left" shrinkToFit="0" vertical="center" wrapText="0"/>
    </xf>
    <xf borderId="4" fillId="2" fontId="4" numFmtId="0" xfId="0" applyAlignment="1" applyBorder="1" applyFont="1">
      <alignment horizontal="left" shrinkToFit="0" vertical="center" wrapText="0"/>
    </xf>
    <xf borderId="5" fillId="3" fontId="2" numFmtId="0" xfId="0" applyAlignment="1" applyBorder="1" applyFill="1" applyFont="1">
      <alignment horizontal="center" shrinkToFit="0" vertical="center" wrapText="0"/>
    </xf>
    <xf borderId="6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horizontal="left" shrinkToFit="0" vertical="center" wrapText="0"/>
    </xf>
    <xf borderId="5" fillId="3" fontId="5" numFmtId="0" xfId="0" applyAlignment="1" applyBorder="1" applyFont="1">
      <alignment horizontal="left" shrinkToFit="0" vertical="center" wrapText="0"/>
    </xf>
    <xf borderId="7" fillId="3" fontId="6" numFmtId="0" xfId="0" applyAlignment="1" applyBorder="1" applyFont="1">
      <alignment horizontal="left" shrinkToFit="0" vertical="center" wrapText="0"/>
    </xf>
    <xf borderId="8" fillId="2" fontId="2" numFmtId="0" xfId="0" applyAlignment="1" applyBorder="1" applyFont="1">
      <alignment horizontal="center" shrinkToFit="0" vertical="center" wrapText="0"/>
    </xf>
    <xf borderId="9" fillId="2" fontId="2" numFmtId="0" xfId="0" applyAlignment="1" applyBorder="1" applyFont="1">
      <alignment shrinkToFit="0" vertical="center" wrapText="0"/>
    </xf>
    <xf borderId="8" fillId="2" fontId="2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horizontal="center" readingOrder="0" shrinkToFit="0" vertical="center" wrapText="0"/>
    </xf>
    <xf borderId="10" fillId="0" fontId="1" numFmtId="164" xfId="0" applyAlignment="1" applyBorder="1" applyFont="1" applyNumberFormat="1">
      <alignment horizontal="center" readingOrder="0" shrinkToFit="0" vertical="center" wrapText="0"/>
    </xf>
    <xf borderId="8" fillId="2" fontId="2" numFmtId="0" xfId="0" applyAlignment="1" applyBorder="1" applyFont="1">
      <alignment horizontal="left" shrinkToFit="0" vertical="center" wrapText="0"/>
    </xf>
    <xf borderId="8" fillId="2" fontId="7" numFmtId="0" xfId="0" applyAlignment="1" applyBorder="1" applyFont="1">
      <alignment horizontal="left" shrinkToFit="0" vertical="center" wrapText="0"/>
    </xf>
    <xf borderId="11" fillId="2" fontId="8" numFmtId="0" xfId="0" applyAlignment="1" applyBorder="1" applyFont="1">
      <alignment horizontal="left" shrinkToFit="0" vertical="center" wrapText="0"/>
    </xf>
    <xf borderId="12" fillId="3" fontId="2" numFmtId="0" xfId="0" applyAlignment="1" applyBorder="1" applyFont="1">
      <alignment shrinkToFit="0" vertical="center" wrapText="0"/>
    </xf>
    <xf borderId="13" fillId="3" fontId="2" numFmtId="0" xfId="0" applyAlignment="1" applyBorder="1" applyFont="1">
      <alignment shrinkToFit="0" vertical="center" wrapText="0"/>
    </xf>
    <xf borderId="14" fillId="3" fontId="2" numFmtId="0" xfId="0" applyAlignment="1" applyBorder="1" applyFont="1">
      <alignment horizontal="left" shrinkToFit="0" vertical="center" wrapText="0"/>
    </xf>
    <xf borderId="14" fillId="3" fontId="9" numFmtId="0" xfId="0" applyAlignment="1" applyBorder="1" applyFont="1">
      <alignment horizontal="left" shrinkToFit="0" vertical="center" wrapText="0"/>
    </xf>
    <xf borderId="15" fillId="3" fontId="10" numFmtId="0" xfId="0" applyAlignment="1" applyBorder="1" applyFont="1">
      <alignment horizontal="left" shrinkToFit="0" vertical="center" wrapText="0"/>
    </xf>
    <xf borderId="16" fillId="2" fontId="2" numFmtId="0" xfId="0" applyAlignment="1" applyBorder="1" applyFont="1">
      <alignment horizontal="center" shrinkToFit="0" vertical="center" wrapText="0"/>
    </xf>
    <xf borderId="17" fillId="3" fontId="2" numFmtId="0" xfId="0" applyAlignment="1" applyBorder="1" applyFont="1">
      <alignment shrinkToFit="0" vertical="center" wrapText="0"/>
    </xf>
    <xf borderId="16" fillId="2" fontId="2" numFmtId="0" xfId="0" applyAlignment="1" applyBorder="1" applyFont="1">
      <alignment shrinkToFit="0" vertical="center" wrapText="0"/>
    </xf>
    <xf borderId="16" fillId="2" fontId="2" numFmtId="0" xfId="0" applyAlignment="1" applyBorder="1" applyFont="1">
      <alignment horizontal="left" shrinkToFit="0" vertical="center" wrapText="0"/>
    </xf>
    <xf borderId="16" fillId="2" fontId="11" numFmtId="0" xfId="0" applyAlignment="1" applyBorder="1" applyFont="1">
      <alignment horizontal="left" shrinkToFit="0" vertical="center" wrapText="0"/>
    </xf>
    <xf borderId="18" fillId="2" fontId="12" numFmtId="0" xfId="0" applyAlignment="1" applyBorder="1" applyFont="1">
      <alignment horizontal="left" shrinkToFit="0" vertical="center" wrapText="0"/>
    </xf>
    <xf borderId="19" fillId="2" fontId="2" numFmtId="0" xfId="0" applyAlignment="1" applyBorder="1" applyFont="1">
      <alignment horizontal="center" shrinkToFit="0" vertical="center" wrapText="0"/>
    </xf>
    <xf borderId="3" fillId="2" fontId="13" numFmtId="0" xfId="0" applyAlignment="1" applyBorder="1" applyFont="1">
      <alignment shrinkToFit="0" vertical="bottom" wrapText="0"/>
    </xf>
    <xf borderId="6" fillId="3" fontId="13" numFmtId="0" xfId="0" applyAlignment="1" applyBorder="1" applyFont="1">
      <alignment shrinkToFit="0" vertical="bottom" wrapText="0"/>
    </xf>
    <xf borderId="9" fillId="2" fontId="13" numFmtId="0" xfId="0" applyAlignment="1" applyBorder="1" applyFont="1">
      <alignment shrinkToFit="0" vertical="bottom" wrapText="0"/>
    </xf>
    <xf borderId="20" fillId="2" fontId="13" numFmtId="0" xfId="0" applyAlignment="1" applyBorder="1" applyFont="1">
      <alignment shrinkToFit="0" vertical="bottom" wrapText="0"/>
    </xf>
    <xf borderId="4" fillId="2" fontId="2" numFmtId="0" xfId="0" applyAlignment="1" applyBorder="1" applyFont="1">
      <alignment horizontal="center" shrinkToFit="0" vertical="center" wrapText="0"/>
    </xf>
    <xf borderId="21" fillId="2" fontId="2" numFmtId="0" xfId="0" applyAlignment="1" applyBorder="1" applyFont="1">
      <alignment shrinkToFit="0" vertical="center" wrapText="0"/>
    </xf>
    <xf borderId="7" fillId="3" fontId="2" numFmtId="0" xfId="0" applyAlignment="1" applyBorder="1" applyFont="1">
      <alignment horizontal="center" shrinkToFit="0" vertical="center" wrapText="0"/>
    </xf>
    <xf borderId="21" fillId="3" fontId="2" numFmtId="0" xfId="0" applyAlignment="1" applyBorder="1" applyFont="1">
      <alignment shrinkToFit="0" vertical="center" wrapText="0"/>
    </xf>
    <xf borderId="15" fillId="3" fontId="2" numFmtId="0" xfId="0" applyAlignment="1" applyBorder="1" applyFont="1">
      <alignment horizontal="center" shrinkToFit="0" vertical="center" wrapText="0"/>
    </xf>
    <xf borderId="22" fillId="3" fontId="2" numFmtId="0" xfId="0" applyAlignment="1" applyBorder="1" applyFont="1">
      <alignment shrinkToFit="0" vertical="center" wrapText="0"/>
    </xf>
    <xf borderId="14" fillId="3" fontId="2" numFmtId="0" xfId="0" applyAlignment="1" applyBorder="1" applyFont="1">
      <alignment shrinkToFit="0" vertical="center" wrapText="0"/>
    </xf>
    <xf borderId="14" fillId="3" fontId="2" numFmtId="0" xfId="0" applyAlignment="1" applyBorder="1" applyFont="1">
      <alignment horizontal="center" shrinkToFit="0" vertical="center" wrapText="0"/>
    </xf>
    <xf borderId="12" fillId="3" fontId="2" numFmtId="0" xfId="0" applyAlignment="1" applyBorder="1" applyFont="1">
      <alignment horizontal="center" shrinkToFit="0" vertical="center" wrapText="0"/>
    </xf>
    <xf borderId="12" fillId="3" fontId="2" numFmtId="0" xfId="0" applyAlignment="1" applyBorder="1" applyFont="1">
      <alignment horizontal="left" shrinkToFit="0" vertical="center" wrapText="0"/>
    </xf>
    <xf borderId="12" fillId="3" fontId="14" numFmtId="0" xfId="0" applyAlignment="1" applyBorder="1" applyFont="1">
      <alignment horizontal="left" shrinkToFit="0" vertical="center" wrapText="0"/>
    </xf>
    <xf borderId="23" fillId="3" fontId="15" numFmtId="0" xfId="0" applyAlignment="1" applyBorder="1" applyFont="1">
      <alignment horizontal="left" shrinkToFit="0" vertical="center" wrapText="0"/>
    </xf>
    <xf borderId="24" fillId="2" fontId="2" numFmtId="0" xfId="0" applyAlignment="1" applyBorder="1" applyFont="1">
      <alignment shrinkToFit="0" vertical="center" wrapText="0"/>
    </xf>
    <xf borderId="24" fillId="3" fontId="2" numFmtId="0" xfId="0" applyAlignment="1" applyBorder="1" applyFont="1">
      <alignment shrinkToFit="0" vertical="center" wrapText="0"/>
    </xf>
    <xf borderId="11" fillId="2" fontId="2" numFmtId="0" xfId="0" applyAlignment="1" applyBorder="1" applyFont="1">
      <alignment horizontal="center" shrinkToFit="0" vertical="center" wrapText="0"/>
    </xf>
    <xf borderId="25" fillId="2" fontId="2" numFmtId="0" xfId="0" applyAlignment="1" applyBorder="1" applyFont="1">
      <alignment shrinkToFit="0" vertical="center" wrapText="0"/>
    </xf>
    <xf borderId="26" fillId="2" fontId="2" numFmtId="0" xfId="0" applyAlignment="1" applyBorder="1" applyFont="1">
      <alignment shrinkToFit="0" vertical="center" wrapText="0"/>
    </xf>
    <xf borderId="27" fillId="3" fontId="2" numFmtId="0" xfId="0" applyAlignment="1" applyBorder="1" applyFont="1">
      <alignment shrinkToFit="0" vertical="center" wrapText="0"/>
    </xf>
    <xf borderId="28" fillId="3" fontId="2" numFmtId="0" xfId="0" applyAlignment="1" applyBorder="1" applyFont="1">
      <alignment horizontal="center" shrinkToFit="0" vertical="center" wrapText="0"/>
    </xf>
    <xf borderId="29" fillId="3" fontId="2" numFmtId="0" xfId="0" applyAlignment="1" applyBorder="1" applyFont="1">
      <alignment shrinkToFit="0" vertical="center" wrapText="0"/>
    </xf>
    <xf borderId="30" fillId="2" fontId="2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31" fillId="3" fontId="2" numFmtId="0" xfId="0" applyAlignment="1" applyBorder="1" applyFont="1">
      <alignment horizontal="center" shrinkToFit="0" vertical="center" wrapText="0"/>
    </xf>
    <xf borderId="32" fillId="2" fontId="2" numFmtId="0" xfId="0" applyAlignment="1" applyBorder="1" applyFont="1">
      <alignment horizontal="center" shrinkToFit="0" vertical="center" wrapText="0"/>
    </xf>
    <xf borderId="33" fillId="2" fontId="2" numFmtId="0" xfId="0" applyAlignment="1" applyBorder="1" applyFont="1">
      <alignment horizontal="center" shrinkToFit="0" vertical="center" wrapText="0"/>
    </xf>
    <xf borderId="34" fillId="2" fontId="2" numFmtId="0" xfId="0" applyAlignment="1" applyBorder="1" applyFont="1">
      <alignment shrinkToFit="0" vertical="center" wrapText="0"/>
    </xf>
    <xf borderId="35" fillId="2" fontId="2" numFmtId="0" xfId="0" applyAlignment="1" applyBorder="1" applyFont="1">
      <alignment horizontal="left" shrinkToFit="0" vertical="center" wrapText="0"/>
    </xf>
    <xf borderId="35" fillId="2" fontId="16" numFmtId="0" xfId="0" applyAlignment="1" applyBorder="1" applyFont="1">
      <alignment horizontal="left" shrinkToFit="0" vertical="center" wrapText="0"/>
    </xf>
    <xf borderId="36" fillId="2" fontId="17" numFmtId="0" xfId="0" applyAlignment="1" applyBorder="1" applyFont="1">
      <alignment horizontal="left" shrinkToFit="0" vertical="center" wrapText="0"/>
    </xf>
    <xf borderId="37" fillId="2" fontId="2" numFmtId="0" xfId="0" applyAlignment="1" applyBorder="1" applyFont="1">
      <alignment horizontal="center" shrinkToFit="0" vertical="center" wrapText="0"/>
    </xf>
    <xf borderId="0" fillId="2" fontId="2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8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38" fillId="3" fontId="2" numFmtId="0" xfId="0" applyAlignment="1" applyBorder="1" applyFont="1">
      <alignment horizontal="center" shrinkToFit="0" vertical="center" wrapText="0"/>
    </xf>
    <xf borderId="0" fillId="3" fontId="2" numFmtId="0" xfId="0" applyAlignment="1" applyFont="1">
      <alignment shrinkToFit="0" vertical="center" wrapText="0"/>
    </xf>
    <xf borderId="0" fillId="0" fontId="19" numFmtId="0" xfId="0" applyAlignment="1" applyFont="1">
      <alignment horizontal="left" readingOrder="0" shrinkToFit="0" vertical="center" wrapText="0"/>
    </xf>
    <xf borderId="39" fillId="2" fontId="2" numFmtId="0" xfId="0" applyAlignment="1" applyBorder="1" applyFont="1">
      <alignment horizontal="center" shrinkToFit="0" vertical="center" wrapText="0"/>
    </xf>
    <xf borderId="10" fillId="2" fontId="2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0" fillId="0" fontId="1" numFmtId="165" xfId="0" applyAlignment="1" applyBorder="1" applyFont="1" applyNumberFormat="1">
      <alignment horizontal="center" readingOrder="0" shrinkToFit="0" vertical="center" wrapText="0"/>
    </xf>
    <xf borderId="10" fillId="0" fontId="1" numFmtId="0" xfId="0" applyAlignment="1" applyBorder="1" applyFont="1">
      <alignment horizontal="left" readingOrder="0" shrinkToFit="0" vertical="center" wrapText="0"/>
    </xf>
    <xf borderId="10" fillId="0" fontId="20" numFmtId="0" xfId="0" applyAlignment="1" applyBorder="1" applyFont="1">
      <alignment horizontal="left" readingOrder="0" shrinkToFit="0" vertical="center" wrapText="0"/>
    </xf>
    <xf borderId="40" fillId="0" fontId="1" numFmtId="0" xfId="0" applyAlignment="1" applyBorder="1" applyFont="1">
      <alignment horizontal="left" readingOrder="0" shrinkToFit="0" vertical="center" wrapText="0"/>
    </xf>
    <xf borderId="41" fillId="2" fontId="2" numFmtId="0" xfId="0" applyAlignment="1" applyBorder="1" applyFont="1">
      <alignment shrinkToFit="0" vertical="center" wrapText="0"/>
    </xf>
    <xf borderId="41" fillId="3" fontId="2" numFmtId="0" xfId="0" applyAlignment="1" applyBorder="1" applyFont="1">
      <alignment shrinkToFit="0" vertical="center" wrapText="0"/>
    </xf>
    <xf borderId="36" fillId="2" fontId="2" numFmtId="0" xfId="0" applyAlignment="1" applyBorder="1" applyFont="1">
      <alignment horizontal="center" shrinkToFit="0" vertical="center" wrapText="0"/>
    </xf>
    <xf borderId="42" fillId="2" fontId="2" numFmtId="0" xfId="0" applyAlignment="1" applyBorder="1" applyFont="1">
      <alignment shrinkToFit="0" vertical="center" wrapText="0"/>
    </xf>
    <xf borderId="35" fillId="2" fontId="2" numFmtId="0" xfId="0" applyAlignment="1" applyBorder="1" applyFont="1">
      <alignment shrinkToFit="0" vertical="center" wrapText="0"/>
    </xf>
    <xf borderId="43" fillId="2" fontId="2" numFmtId="0" xfId="0" applyAlignment="1" applyBorder="1" applyFont="1">
      <alignment horizontal="center" shrinkToFit="0" vertical="center" wrapText="0"/>
    </xf>
    <xf borderId="44" fillId="2" fontId="2" numFmtId="0" xfId="0" applyAlignment="1" applyBorder="1" applyFont="1">
      <alignment shrinkToFit="0" vertical="center" wrapText="0"/>
    </xf>
    <xf borderId="44" fillId="0" fontId="1" numFmtId="0" xfId="0" applyAlignment="1" applyBorder="1" applyFont="1">
      <alignment horizontal="center" readingOrder="0" shrinkToFit="0" vertical="center" wrapText="0"/>
    </xf>
    <xf borderId="44" fillId="0" fontId="1" numFmtId="164" xfId="0" applyAlignment="1" applyBorder="1" applyFont="1" applyNumberFormat="1">
      <alignment horizontal="center" readingOrder="0" shrinkToFit="0" vertical="center" wrapText="0"/>
    </xf>
    <xf borderId="44" fillId="2" fontId="2" numFmtId="0" xfId="0" applyAlignment="1" applyBorder="1" applyFont="1">
      <alignment horizontal="left" shrinkToFit="0" vertical="center" wrapText="0"/>
    </xf>
    <xf borderId="44" fillId="2" fontId="21" numFmtId="0" xfId="0" applyAlignment="1" applyBorder="1" applyFont="1">
      <alignment horizontal="left" shrinkToFit="0" vertical="center" wrapText="0"/>
    </xf>
    <xf borderId="45" fillId="2" fontId="22" numFmtId="0" xfId="0" applyAlignment="1" applyBorder="1" applyFont="1">
      <alignment horizontal="left" shrinkToFit="0" vertical="center" wrapText="0"/>
    </xf>
    <xf borderId="1" fillId="3" fontId="2" numFmtId="0" xfId="0" applyAlignment="1" applyBorder="1" applyFont="1">
      <alignment horizontal="center" shrinkToFit="0" vertical="center" wrapText="0"/>
    </xf>
    <xf borderId="0" fillId="3" fontId="2" numFmtId="0" xfId="0" applyAlignment="1" applyFont="1">
      <alignment horizontal="left" shrinkToFit="0" vertical="center" wrapText="0"/>
    </xf>
    <xf borderId="0" fillId="3" fontId="23" numFmtId="0" xfId="0" applyAlignment="1" applyFont="1">
      <alignment horizontal="left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0" fillId="2" fontId="2" numFmtId="0" xfId="0" applyAlignment="1" applyFont="1">
      <alignment horizontal="left" shrinkToFit="0" vertical="center" wrapText="0"/>
    </xf>
    <xf borderId="0" fillId="2" fontId="24" numFmtId="0" xfId="0" applyAlignment="1" applyFont="1">
      <alignment horizontal="left" shrinkToFit="0" vertical="center" wrapText="0"/>
    </xf>
    <xf borderId="40" fillId="3" fontId="2" numFmtId="0" xfId="0" applyAlignment="1" applyBorder="1" applyFont="1">
      <alignment horizontal="center" shrinkToFit="0" vertical="center" wrapText="0"/>
    </xf>
    <xf borderId="10" fillId="3" fontId="2" numFmtId="0" xfId="0" applyAlignment="1" applyBorder="1" applyFont="1">
      <alignment shrinkToFit="0" vertical="center" wrapText="0"/>
    </xf>
    <xf borderId="10" fillId="3" fontId="2" numFmtId="0" xfId="0" applyAlignment="1" applyBorder="1" applyFont="1">
      <alignment horizontal="left" shrinkToFit="0" vertical="center" wrapText="0"/>
    </xf>
    <xf borderId="10" fillId="3" fontId="25" numFmtId="0" xfId="0" applyAlignment="1" applyBorder="1" applyFont="1">
      <alignment horizontal="left" shrinkToFit="0" vertical="center" wrapText="0"/>
    </xf>
    <xf borderId="46" fillId="2" fontId="2" numFmtId="0" xfId="0" applyAlignment="1" applyBorder="1" applyFont="1">
      <alignment shrinkToFit="0" vertical="center" wrapText="0"/>
    </xf>
    <xf borderId="46" fillId="3" fontId="2" numFmtId="0" xfId="0" applyAlignment="1" applyBorder="1" applyFont="1">
      <alignment shrinkToFit="0" vertical="center" wrapText="0"/>
    </xf>
    <xf borderId="47" fillId="3" fontId="2" numFmtId="0" xfId="0" applyAlignment="1" applyBorder="1" applyFont="1">
      <alignment shrinkToFit="0" vertical="center" wrapText="0"/>
    </xf>
    <xf borderId="47" fillId="2" fontId="2" numFmtId="0" xfId="0" applyAlignment="1" applyBorder="1" applyFont="1">
      <alignment shrinkToFit="0" vertical="center" wrapText="0"/>
    </xf>
    <xf borderId="48" fillId="2" fontId="2" numFmtId="0" xfId="0" applyAlignment="1" applyBorder="1" applyFont="1">
      <alignment shrinkToFit="0" vertical="center" wrapText="0"/>
    </xf>
    <xf borderId="48" fillId="3" fontId="2" numFmtId="0" xfId="0" applyAlignment="1" applyBorder="1" applyFont="1">
      <alignment shrinkToFit="0" vertical="center" wrapText="0"/>
    </xf>
    <xf borderId="49" fillId="2" fontId="2" numFmtId="0" xfId="0" applyAlignment="1" applyBorder="1" applyFont="1">
      <alignment shrinkToFit="0" vertical="center" wrapText="0"/>
    </xf>
    <xf borderId="49" fillId="3" fontId="2" numFmtId="0" xfId="0" applyAlignment="1" applyBorder="1" applyFont="1">
      <alignment shrinkToFit="0" vertical="center" wrapText="0"/>
    </xf>
    <xf borderId="50" fillId="2" fontId="2" numFmtId="0" xfId="0" applyAlignment="1" applyBorder="1" applyFont="1">
      <alignment shrinkToFit="0" vertical="center" wrapText="0"/>
    </xf>
    <xf borderId="5" fillId="2" fontId="2" numFmtId="0" xfId="0" applyAlignment="1" applyBorder="1" applyFont="1">
      <alignment shrinkToFit="0" vertical="center" wrapText="0"/>
    </xf>
    <xf borderId="2" fillId="3" fontId="2" numFmtId="0" xfId="0" applyAlignment="1" applyBorder="1" applyFont="1">
      <alignment shrinkToFit="0" vertical="center" wrapText="0"/>
    </xf>
    <xf borderId="16" fillId="3" fontId="2" numFmtId="0" xfId="0" applyAlignment="1" applyBorder="1" applyFont="1">
      <alignment shrinkToFit="0" vertical="center" wrapText="0"/>
    </xf>
    <xf borderId="51" fillId="2" fontId="2" numFmtId="0" xfId="0" applyAlignment="1" applyBorder="1" applyFont="1">
      <alignment shrinkToFit="0" vertical="center" wrapText="0"/>
    </xf>
    <xf borderId="19" fillId="2" fontId="2" numFmtId="0" xfId="0" applyAlignment="1" applyBorder="1" applyFont="1">
      <alignment horizontal="left" shrinkToFit="0" vertical="center" wrapText="0"/>
    </xf>
    <xf borderId="19" fillId="2" fontId="26" numFmtId="0" xfId="0" applyAlignment="1" applyBorder="1" applyFont="1">
      <alignment horizontal="left" shrinkToFit="0" vertical="center" wrapText="0"/>
    </xf>
    <xf borderId="14" fillId="2" fontId="2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1" fillId="0" fontId="1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999" displayName="Tabela_1" name="Tabela_1" id="1">
  <tableColumns count="8">
    <tableColumn name="Codigo de Validação do Certificado" id="1"/>
    <tableColumn name="Nome completo do participante" id="2"/>
    <tableColumn name="Título da Capacitação / Treinamento" id="3"/>
    <tableColumn name="Carga Horária" id="4"/>
    <tableColumn name="Data da Capacitação" id="5"/>
    <tableColumn name="Merged Doc ID" id="6"/>
    <tableColumn name="Merged Doc URL - Certificado_Capacitação_Prevenção_de_Quedas" id="7"/>
    <tableColumn name="Link to merged Doc" id="8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UTfWbndpaFwsEkpls0qLeQdnAsExse1Y/view?usp=drivesdk" TargetMode="External"/><Relationship Id="rId194" Type="http://schemas.openxmlformats.org/officeDocument/2006/relationships/hyperlink" Target="https://drive.google.com/file/d/1vqN7GhfAkm6EttA2JtG_YPY_fl4CZTXU/view?usp=drivesdk" TargetMode="External"/><Relationship Id="rId193" Type="http://schemas.openxmlformats.org/officeDocument/2006/relationships/hyperlink" Target="https://drive.google.com/file/d/1mbSrvsdvqHPcTQynL2PIRFSU9Rlbi_i4/view?usp=drivesdk" TargetMode="External"/><Relationship Id="rId192" Type="http://schemas.openxmlformats.org/officeDocument/2006/relationships/hyperlink" Target="https://drive.google.com/file/d/10-d7TYKidWHgTHcIJKl2cRbcSAlH3SLs/view?usp=drivesdk" TargetMode="External"/><Relationship Id="rId191" Type="http://schemas.openxmlformats.org/officeDocument/2006/relationships/hyperlink" Target="https://drive.google.com/file/d/1X5HAw0cCsmb6vLo4QTc4t2Dn4lzG4tEl/view?usp=drivesdk" TargetMode="External"/><Relationship Id="rId187" Type="http://schemas.openxmlformats.org/officeDocument/2006/relationships/hyperlink" Target="https://drive.google.com/file/d/1hplkOg7xG-3J8vTIKMTKbPRN5dTpmGVX/view?usp=drivesdk" TargetMode="External"/><Relationship Id="rId186" Type="http://schemas.openxmlformats.org/officeDocument/2006/relationships/hyperlink" Target="https://drive.google.com/file/d/10BJEYfG1brAnkDqyu8fUiXyfvtMGHFuy/view?usp=drivesdk" TargetMode="External"/><Relationship Id="rId185" Type="http://schemas.openxmlformats.org/officeDocument/2006/relationships/hyperlink" Target="https://drive.google.com/file/d/1eZRL-tD4JRPa_vUOUw-y-Rb-4U4dfsHu/view?usp=drivesdk" TargetMode="External"/><Relationship Id="rId184" Type="http://schemas.openxmlformats.org/officeDocument/2006/relationships/hyperlink" Target="https://drive.google.com/file/d/1Q11bwygcNAU8omFt7riMVu2-edzL1etL/view?usp=drivesdk" TargetMode="External"/><Relationship Id="rId189" Type="http://schemas.openxmlformats.org/officeDocument/2006/relationships/hyperlink" Target="https://drive.google.com/file/d/1UpADqXdSlvkz64eIRFUbR_wMI912VYPS/view?usp=drivesdk" TargetMode="External"/><Relationship Id="rId188" Type="http://schemas.openxmlformats.org/officeDocument/2006/relationships/hyperlink" Target="https://drive.google.com/file/d/1cMarBVmCajEnHz0qxITan56CWH_Fus2g/view?usp=drivesdk" TargetMode="External"/><Relationship Id="rId183" Type="http://schemas.openxmlformats.org/officeDocument/2006/relationships/hyperlink" Target="https://drive.google.com/file/d/1LHXlUSf77tUCSqEYnsq6IMrwYUHN_Cm3/view?usp=drivesdk" TargetMode="External"/><Relationship Id="rId182" Type="http://schemas.openxmlformats.org/officeDocument/2006/relationships/hyperlink" Target="https://drive.google.com/file/d/152vJ5h5d27iGhbs6jd9ImZS1_11F5aef/view?usp=drivesdk" TargetMode="External"/><Relationship Id="rId181" Type="http://schemas.openxmlformats.org/officeDocument/2006/relationships/hyperlink" Target="https://drive.google.com/file/d/1XbzLcKRPjA67HCEtxgq3rnoldWMcRI6h/view?usp=drivesdk" TargetMode="External"/><Relationship Id="rId180" Type="http://schemas.openxmlformats.org/officeDocument/2006/relationships/hyperlink" Target="https://drive.google.com/file/d/1ziIJl7AtNETMYDcl_c5U1RrXQoKwGur-/view?usp=drivesdk" TargetMode="External"/><Relationship Id="rId176" Type="http://schemas.openxmlformats.org/officeDocument/2006/relationships/hyperlink" Target="https://drive.google.com/file/d/1pG-qJ-WU9bEaDSW8QGZd0fgFx69qnTzO/view?usp=drivesdk" TargetMode="External"/><Relationship Id="rId297" Type="http://schemas.openxmlformats.org/officeDocument/2006/relationships/hyperlink" Target="https://drive.google.com/file/d/1IqKTPQZX2IRg5v-THVFD2aN9SqyV-SgM/view?usp=drivesdk" TargetMode="External"/><Relationship Id="rId175" Type="http://schemas.openxmlformats.org/officeDocument/2006/relationships/hyperlink" Target="https://drive.google.com/file/d/18cJp2dRTQ87RhX1qbdqw8cmnDaEVXUgR/view?usp=drivesdk" TargetMode="External"/><Relationship Id="rId296" Type="http://schemas.openxmlformats.org/officeDocument/2006/relationships/hyperlink" Target="https://drive.google.com/file/d/1GNS_t9XC9hd-m7U60qAGlRQpOO21lk_C/view?usp=drivesdk" TargetMode="External"/><Relationship Id="rId174" Type="http://schemas.openxmlformats.org/officeDocument/2006/relationships/hyperlink" Target="https://drive.google.com/file/d/1UNL8N7Wjl3U12ctFVYe2Go0cI-LVi1YQ/view?usp=drivesdk" TargetMode="External"/><Relationship Id="rId295" Type="http://schemas.openxmlformats.org/officeDocument/2006/relationships/hyperlink" Target="https://drive.google.com/file/d/1B2YgwiB9f7zsSIY0LbldhMHz0rpT-KIX/view?usp=drivesdk" TargetMode="External"/><Relationship Id="rId173" Type="http://schemas.openxmlformats.org/officeDocument/2006/relationships/hyperlink" Target="https://drive.google.com/file/d/1W4zeUOSmOSdIvAgpPrLUyhSqAoo0NZXv/view?usp=drivesdk" TargetMode="External"/><Relationship Id="rId294" Type="http://schemas.openxmlformats.org/officeDocument/2006/relationships/hyperlink" Target="https://drive.google.com/file/d/1aLAgjNOyw4sMpSl1WbMFqNmC3oMPM9F8/view?usp=drivesdk" TargetMode="External"/><Relationship Id="rId179" Type="http://schemas.openxmlformats.org/officeDocument/2006/relationships/hyperlink" Target="https://drive.google.com/file/d/17oz6k1qejBSpyQ47F7m6WqoK3c3LRon-/view?usp=drivesdk" TargetMode="External"/><Relationship Id="rId178" Type="http://schemas.openxmlformats.org/officeDocument/2006/relationships/hyperlink" Target="https://drive.google.com/file/d/1t6R8tT7kZUEYecZFRhA_yNY55lYUS1Ti/view?usp=drivesdk" TargetMode="External"/><Relationship Id="rId299" Type="http://schemas.openxmlformats.org/officeDocument/2006/relationships/hyperlink" Target="https://drive.google.com/file/d/1PevKpkaG2OpNojvHWJWH4HJi-fOUajSj/view?usp=drivesdk" TargetMode="External"/><Relationship Id="rId177" Type="http://schemas.openxmlformats.org/officeDocument/2006/relationships/hyperlink" Target="https://drive.google.com/file/d/1QnGnK7VkuzUDf4XNNj9L0OZPI7qItg4t/view?usp=drivesdk" TargetMode="External"/><Relationship Id="rId298" Type="http://schemas.openxmlformats.org/officeDocument/2006/relationships/hyperlink" Target="https://drive.google.com/file/d/1XKPavTG5lGOmvd1Jzx7sttJx7JXM6pxN/view?usp=drivesdk" TargetMode="External"/><Relationship Id="rId198" Type="http://schemas.openxmlformats.org/officeDocument/2006/relationships/hyperlink" Target="https://drive.google.com/file/d/1RbMnecRQxjS-FYHoPbMDON8snyW09cP6/view?usp=drivesdk" TargetMode="External"/><Relationship Id="rId197" Type="http://schemas.openxmlformats.org/officeDocument/2006/relationships/hyperlink" Target="https://drive.google.com/file/d/1mFaQQY66UM8-lJaXotE5Hj3rsh992pbD/view?usp=drivesdk" TargetMode="External"/><Relationship Id="rId196" Type="http://schemas.openxmlformats.org/officeDocument/2006/relationships/hyperlink" Target="https://drive.google.com/file/d/1Uv8TjgRr15o7l1sAtmpZcbkMH9A9uGq1/view?usp=drivesdk" TargetMode="External"/><Relationship Id="rId195" Type="http://schemas.openxmlformats.org/officeDocument/2006/relationships/hyperlink" Target="https://drive.google.com/file/d/1xUfd-IvqhN-lG01jNjiWBokjv1us1qm7/view?usp=drivesdk" TargetMode="External"/><Relationship Id="rId199" Type="http://schemas.openxmlformats.org/officeDocument/2006/relationships/hyperlink" Target="https://drive.google.com/file/d/1monbqxOsoUlEiFbs1g0Cx1L6xuDP-ZcG/view?usp=drivesdk" TargetMode="External"/><Relationship Id="rId150" Type="http://schemas.openxmlformats.org/officeDocument/2006/relationships/hyperlink" Target="https://drive.google.com/file/d/1I5rHCcUBmNHjpnJguPIaZbUEqt1RWkTI/view?usp=drivesdk" TargetMode="External"/><Relationship Id="rId271" Type="http://schemas.openxmlformats.org/officeDocument/2006/relationships/hyperlink" Target="https://drive.google.com/file/d/1FnmUUqPHU89xHYtdhI1-wJoaRXTUHxBl/view?usp=drivesdk" TargetMode="External"/><Relationship Id="rId392" Type="http://schemas.openxmlformats.org/officeDocument/2006/relationships/hyperlink" Target="https://drive.google.com/file/d/1F0PYYLfUC3VaGWJ035EA6FBS7nFTQYqx/view?usp=drivesdk" TargetMode="External"/><Relationship Id="rId270" Type="http://schemas.openxmlformats.org/officeDocument/2006/relationships/hyperlink" Target="https://drive.google.com/file/d/1Bzee6eu5emYM7T6jAZskA1RFYDhKaCKZ/view?usp=drivesdk" TargetMode="External"/><Relationship Id="rId391" Type="http://schemas.openxmlformats.org/officeDocument/2006/relationships/hyperlink" Target="https://drive.google.com/file/d/1paEMw6uYom5fEKYIxGpmwtwnGhkOyGge/view?usp=drivesdk" TargetMode="External"/><Relationship Id="rId390" Type="http://schemas.openxmlformats.org/officeDocument/2006/relationships/hyperlink" Target="https://drive.google.com/file/d/1gHNl4xIQNKYmaF87DNkrARNkmmpZDmoC/view?usp=drivesdk" TargetMode="External"/><Relationship Id="rId1" Type="http://schemas.openxmlformats.org/officeDocument/2006/relationships/hyperlink" Target="https://drive.google.com/file/d/1FhwIRwCfzZvexnqbuxiM510AzpbxWav2/view?usp=drivesdk" TargetMode="External"/><Relationship Id="rId2" Type="http://schemas.openxmlformats.org/officeDocument/2006/relationships/hyperlink" Target="https://drive.google.com/file/d/1uprS5XdXjtjs606R9WzEQ-WQ9RrgS7G7/view?usp=drivesdk" TargetMode="External"/><Relationship Id="rId3" Type="http://schemas.openxmlformats.org/officeDocument/2006/relationships/hyperlink" Target="https://drive.google.com/file/d/1HyBrfLWx2frxpwB9Vce4zFBODTXZA7RM/view?usp=drivesdk" TargetMode="External"/><Relationship Id="rId149" Type="http://schemas.openxmlformats.org/officeDocument/2006/relationships/hyperlink" Target="https://drive.google.com/file/d/1CVXMtnvaRbagkxqIlxjHJ-9kP3JK5UXq/view?usp=drivesdk" TargetMode="External"/><Relationship Id="rId4" Type="http://schemas.openxmlformats.org/officeDocument/2006/relationships/hyperlink" Target="https://drive.google.com/file/d/1ZF5679Of3jK91-RbjduMg6Y8GcBodmDE/view?usp=drivesdk" TargetMode="External"/><Relationship Id="rId148" Type="http://schemas.openxmlformats.org/officeDocument/2006/relationships/hyperlink" Target="https://drive.google.com/file/d/1NbdO5wQ5YxTv-9gdfL4nDuQ-1GVB45Q2/view?usp=drivesdk" TargetMode="External"/><Relationship Id="rId269" Type="http://schemas.openxmlformats.org/officeDocument/2006/relationships/hyperlink" Target="https://drive.google.com/file/d/1Xt25a-K5MTFFARC5vZDvumVjCE6jROQp/view?usp=drivesdk" TargetMode="External"/><Relationship Id="rId9" Type="http://schemas.openxmlformats.org/officeDocument/2006/relationships/hyperlink" Target="https://drive.google.com/file/d/1XoKIhKrmGcTLW-UrCurxZTgCwdWiM0sz/view?usp=drivesdk" TargetMode="External"/><Relationship Id="rId143" Type="http://schemas.openxmlformats.org/officeDocument/2006/relationships/hyperlink" Target="https://drive.google.com/file/d/1MHWUKpePdpdUQ8rNkdFlNVQseqziH432/view?usp=drivesdk" TargetMode="External"/><Relationship Id="rId264" Type="http://schemas.openxmlformats.org/officeDocument/2006/relationships/hyperlink" Target="https://drive.google.com/file/d/1NHNbEwxUFM8IwOf9uSjpdINqnSLy23xl/view?usp=drivesdk" TargetMode="External"/><Relationship Id="rId385" Type="http://schemas.openxmlformats.org/officeDocument/2006/relationships/hyperlink" Target="https://drive.google.com/file/d/115Wl2fJ1XDDpULa_fLS0H5FmncKkTO6l/view?usp=drivesdk" TargetMode="External"/><Relationship Id="rId142" Type="http://schemas.openxmlformats.org/officeDocument/2006/relationships/hyperlink" Target="https://drive.google.com/file/d/1axxnlUo_aOgWkEtO8FZ2tXcMr9ngAbbY/view?usp=drivesdk" TargetMode="External"/><Relationship Id="rId263" Type="http://schemas.openxmlformats.org/officeDocument/2006/relationships/hyperlink" Target="https://drive.google.com/file/d/1N_0unwTcQhg_NW-FonPkgfAfaEZacqmQ/view?usp=drivesdk" TargetMode="External"/><Relationship Id="rId384" Type="http://schemas.openxmlformats.org/officeDocument/2006/relationships/hyperlink" Target="https://drive.google.com/file/d/1oKL48vg6ev5X_XyIqHseh6i5xRfjdzP7/view?usp=drivesdk" TargetMode="External"/><Relationship Id="rId141" Type="http://schemas.openxmlformats.org/officeDocument/2006/relationships/hyperlink" Target="https://drive.google.com/file/d/1tNzIpaB96s7KHgU-LB6YdWFXw2OGXMQ_/view?usp=drivesdk" TargetMode="External"/><Relationship Id="rId262" Type="http://schemas.openxmlformats.org/officeDocument/2006/relationships/hyperlink" Target="https://drive.google.com/file/d/1wFNrmQ8zuhN6lsCjHYfqWIW2Fs_lpRDz/view?usp=drivesdk" TargetMode="External"/><Relationship Id="rId383" Type="http://schemas.openxmlformats.org/officeDocument/2006/relationships/hyperlink" Target="https://drive.google.com/file/d/1u30seyg88MforMYjkfolK4G6UVPcwI01/view?usp=drivesdk" TargetMode="External"/><Relationship Id="rId140" Type="http://schemas.openxmlformats.org/officeDocument/2006/relationships/hyperlink" Target="https://drive.google.com/file/d/1AwkSeehj5mFPjHs1TZYNZkJoRZ1T8VbZ/view?usp=drivesdk" TargetMode="External"/><Relationship Id="rId261" Type="http://schemas.openxmlformats.org/officeDocument/2006/relationships/hyperlink" Target="https://drive.google.com/file/d/1_PWuP4fH3FUZ2SpPUb856huqoD-_Ty9K/view?usp=drivesdk" TargetMode="External"/><Relationship Id="rId382" Type="http://schemas.openxmlformats.org/officeDocument/2006/relationships/hyperlink" Target="https://drive.google.com/file/d/1idd60KBMCcXr5qWz9GAO7_FZf3Sa0jfK/view?usp=drivesdk" TargetMode="External"/><Relationship Id="rId5" Type="http://schemas.openxmlformats.org/officeDocument/2006/relationships/hyperlink" Target="https://drive.google.com/file/d/1AgNsC1nBGE8S0ug_9hA8hTqS7L-UVy_y/view?usp=drivesdk" TargetMode="External"/><Relationship Id="rId147" Type="http://schemas.openxmlformats.org/officeDocument/2006/relationships/hyperlink" Target="https://drive.google.com/file/d/121hnbqfPhPECAI7T94OMyI_0fNh931Yo/view?usp=drivesdk" TargetMode="External"/><Relationship Id="rId268" Type="http://schemas.openxmlformats.org/officeDocument/2006/relationships/hyperlink" Target="https://drive.google.com/file/d/1vcELYpUbR2kEMeqi-UFR2j4NSDN9CeVo/view?usp=drivesdk" TargetMode="External"/><Relationship Id="rId389" Type="http://schemas.openxmlformats.org/officeDocument/2006/relationships/hyperlink" Target="https://drive.google.com/file/d/1XIk0u2qXDlELXHuBxoWy7W2lgT62zISn/view?usp=drivesdk" TargetMode="External"/><Relationship Id="rId6" Type="http://schemas.openxmlformats.org/officeDocument/2006/relationships/hyperlink" Target="https://drive.google.com/file/d/1-w8rbWWceisk2UreICAOLp8I7m48sIRp/view?usp=drivesdk" TargetMode="External"/><Relationship Id="rId146" Type="http://schemas.openxmlformats.org/officeDocument/2006/relationships/hyperlink" Target="https://drive.google.com/file/d/1Nf4D6mNvp0qlieY3-4FxzqrypsJOIzbV/view?usp=drivesdk" TargetMode="External"/><Relationship Id="rId267" Type="http://schemas.openxmlformats.org/officeDocument/2006/relationships/hyperlink" Target="https://drive.google.com/file/d/1vczPNA5gl6UzPFGntFIbjpAKwkqUE32U/view?usp=drivesdk" TargetMode="External"/><Relationship Id="rId388" Type="http://schemas.openxmlformats.org/officeDocument/2006/relationships/hyperlink" Target="https://drive.google.com/file/d/1y_q0E6cPIVqv3OlnYWWawZ5TfFpO__3n/view?usp=drivesdk" TargetMode="External"/><Relationship Id="rId7" Type="http://schemas.openxmlformats.org/officeDocument/2006/relationships/hyperlink" Target="https://drive.google.com/file/d/18vt4Fzuh0IldHIzXJQoZosQo_QuJe2PB/view?usp=drivesdk" TargetMode="External"/><Relationship Id="rId145" Type="http://schemas.openxmlformats.org/officeDocument/2006/relationships/hyperlink" Target="https://drive.google.com/file/d/1kOwmrtIa3G5fr435ffIO6TwJwvzgYQtw/view?usp=drivesdk" TargetMode="External"/><Relationship Id="rId266" Type="http://schemas.openxmlformats.org/officeDocument/2006/relationships/hyperlink" Target="https://drive.google.com/file/d/1DXoZkNqwpyqkc4E5YfH3jl50LWXeZjaC/view?usp=drivesdk" TargetMode="External"/><Relationship Id="rId387" Type="http://schemas.openxmlformats.org/officeDocument/2006/relationships/hyperlink" Target="https://drive.google.com/file/d/1AeJctHpW10yFWfFe6Ecv75zfTo30dPcq/view?usp=drivesdk" TargetMode="External"/><Relationship Id="rId8" Type="http://schemas.openxmlformats.org/officeDocument/2006/relationships/hyperlink" Target="https://drive.google.com/file/d/11sCtKHXF1uofNkYuDG_GHDm5D-ClviyN/view?usp=drivesdk" TargetMode="External"/><Relationship Id="rId144" Type="http://schemas.openxmlformats.org/officeDocument/2006/relationships/hyperlink" Target="https://drive.google.com/file/d/1vihkLpCQGKX7jgEPKscc_KKwLPOoV20V/view?usp=drivesdk" TargetMode="External"/><Relationship Id="rId265" Type="http://schemas.openxmlformats.org/officeDocument/2006/relationships/hyperlink" Target="https://drive.google.com/file/d/1yfHPbmakgopyUjC8LcarhdQiYvyLgxH_/view?usp=drivesdk" TargetMode="External"/><Relationship Id="rId386" Type="http://schemas.openxmlformats.org/officeDocument/2006/relationships/hyperlink" Target="https://drive.google.com/file/d/1wpVQHnk-sVpluEvaJOtJqBaOzlTmaq1M/view?usp=drivesdk" TargetMode="External"/><Relationship Id="rId260" Type="http://schemas.openxmlformats.org/officeDocument/2006/relationships/hyperlink" Target="https://drive.google.com/file/d/1Oi-yDm2wO7VQZ86IaE7VhSnEhLqZLbrv/view?usp=drivesdk" TargetMode="External"/><Relationship Id="rId381" Type="http://schemas.openxmlformats.org/officeDocument/2006/relationships/hyperlink" Target="https://drive.google.com/file/d/1qXQp43YISyyFtTCPWX0K9is159Ve6gpv/view?usp=drivesdk" TargetMode="External"/><Relationship Id="rId380" Type="http://schemas.openxmlformats.org/officeDocument/2006/relationships/hyperlink" Target="https://drive.google.com/file/d/1KvaotDw5U3t4K6KT3lUMFtOFq82xEnGD/view?usp=drivesdk" TargetMode="External"/><Relationship Id="rId139" Type="http://schemas.openxmlformats.org/officeDocument/2006/relationships/hyperlink" Target="https://drive.google.com/file/d/1bZ7R2chdjH4qwjuC66n_ODGACdYRbU_e/view?usp=drivesdk" TargetMode="External"/><Relationship Id="rId138" Type="http://schemas.openxmlformats.org/officeDocument/2006/relationships/hyperlink" Target="https://drive.google.com/file/d/1sajG3ufP0L_axP3l96e1l_Gsi_SYUnIp/view?usp=drivesdk" TargetMode="External"/><Relationship Id="rId259" Type="http://schemas.openxmlformats.org/officeDocument/2006/relationships/hyperlink" Target="https://drive.google.com/file/d/1Su05NE3NbUhZ1PYcA3KmNQoKLpc2aS2m/view?usp=drivesdk" TargetMode="External"/><Relationship Id="rId137" Type="http://schemas.openxmlformats.org/officeDocument/2006/relationships/hyperlink" Target="https://drive.google.com/file/d/1dTvuQ9k_t6rD8ziBrf6Vud5qlXo0oF8a/view?usp=drivesdk" TargetMode="External"/><Relationship Id="rId258" Type="http://schemas.openxmlformats.org/officeDocument/2006/relationships/hyperlink" Target="https://drive.google.com/file/d/1IHxJ0EsDI3LPh4Uxmj1Scde2IBy6aP48/view?usp=drivesdk" TargetMode="External"/><Relationship Id="rId379" Type="http://schemas.openxmlformats.org/officeDocument/2006/relationships/hyperlink" Target="https://drive.google.com/file/d/1rZ75ghgdJpzjhv3a-9-78Q6o5lPpxGts/view?usp=drivesdk" TargetMode="External"/><Relationship Id="rId132" Type="http://schemas.openxmlformats.org/officeDocument/2006/relationships/hyperlink" Target="https://drive.google.com/file/d/1kxMzJLyS3nWVNR-14jY9G-kWWewnB9AO/view?usp=drivesdk" TargetMode="External"/><Relationship Id="rId253" Type="http://schemas.openxmlformats.org/officeDocument/2006/relationships/hyperlink" Target="https://drive.google.com/file/d/1RZNmqwEb_ewIefWRKVfM1jfF688epKKg/view?usp=drivesdk" TargetMode="External"/><Relationship Id="rId374" Type="http://schemas.openxmlformats.org/officeDocument/2006/relationships/hyperlink" Target="https://drive.google.com/file/d/1JqQTO16mY41CrLRZiDs7w2m8uorcnbSa/view?usp=drivesdk" TargetMode="External"/><Relationship Id="rId131" Type="http://schemas.openxmlformats.org/officeDocument/2006/relationships/hyperlink" Target="https://drive.google.com/file/d/1tozKkfiiNFNdsraAcb195xejFB-rMj6H/view?usp=drivesdk" TargetMode="External"/><Relationship Id="rId252" Type="http://schemas.openxmlformats.org/officeDocument/2006/relationships/hyperlink" Target="https://drive.google.com/file/d/1t9Xv1o1gRn3QvQEJaZY7Sycra8z5_8R8/view?usp=drivesdk" TargetMode="External"/><Relationship Id="rId373" Type="http://schemas.openxmlformats.org/officeDocument/2006/relationships/hyperlink" Target="https://drive.google.com/file/d/1Bk9nkwegcaDHya4MkIPcw9DcnEPaUVt5/view?usp=drivesdk" TargetMode="External"/><Relationship Id="rId130" Type="http://schemas.openxmlformats.org/officeDocument/2006/relationships/hyperlink" Target="https://drive.google.com/file/d/1DYHYCkPuC1vgwu4NSvcjVxf6OBgwUMr7/view?usp=drivesdk" TargetMode="External"/><Relationship Id="rId251" Type="http://schemas.openxmlformats.org/officeDocument/2006/relationships/hyperlink" Target="https://drive.google.com/file/d/10Eec8mgdA_zTUbvAVQqcoKDi0wib5fbX/view?usp=drivesdk" TargetMode="External"/><Relationship Id="rId372" Type="http://schemas.openxmlformats.org/officeDocument/2006/relationships/hyperlink" Target="https://drive.google.com/file/d/1Ms2S3x2TTdZKjMZ8SW_m-EB4St5f5pOb/view?usp=drivesdk" TargetMode="External"/><Relationship Id="rId250" Type="http://schemas.openxmlformats.org/officeDocument/2006/relationships/hyperlink" Target="https://drive.google.com/file/d/13PDK738ssDdZnVPfCbyL9ekXCpqDFJC8/view?usp=drivesdk" TargetMode="External"/><Relationship Id="rId371" Type="http://schemas.openxmlformats.org/officeDocument/2006/relationships/hyperlink" Target="https://drive.google.com/file/d/14UNSphzNbTRvlSlechOruxKBeMmRCNc1/view?usp=drivesdk" TargetMode="External"/><Relationship Id="rId136" Type="http://schemas.openxmlformats.org/officeDocument/2006/relationships/hyperlink" Target="https://drive.google.com/file/d/1V9iR3f9H6h6W69jf4YG40QtWM5wCEd7B/view?usp=drivesdk" TargetMode="External"/><Relationship Id="rId257" Type="http://schemas.openxmlformats.org/officeDocument/2006/relationships/hyperlink" Target="https://drive.google.com/file/d/1e3Np1AWIqpUrVOHWZvDsDu_uX4Elfyyo/view?usp=drivesdk" TargetMode="External"/><Relationship Id="rId378" Type="http://schemas.openxmlformats.org/officeDocument/2006/relationships/hyperlink" Target="https://drive.google.com/file/d/1cdWOqeAYEuvZzil6srn0PfjNDQDWohgw/view?usp=drivesdk" TargetMode="External"/><Relationship Id="rId135" Type="http://schemas.openxmlformats.org/officeDocument/2006/relationships/hyperlink" Target="https://drive.google.com/file/d/1tj9SBOE9jq6s70K2GHQ1EUWA0iOgdwwT/view?usp=drivesdk" TargetMode="External"/><Relationship Id="rId256" Type="http://schemas.openxmlformats.org/officeDocument/2006/relationships/hyperlink" Target="https://drive.google.com/file/d/19aPtZsb8qUipzosQY3Zg5lJeBPMFvQZz/view?usp=drivesdk" TargetMode="External"/><Relationship Id="rId377" Type="http://schemas.openxmlformats.org/officeDocument/2006/relationships/hyperlink" Target="https://drive.google.com/file/d/1cR1pcZObwVQ1JGfNCcKnMf6XQhr4S-5u/view?usp=drivesdk" TargetMode="External"/><Relationship Id="rId134" Type="http://schemas.openxmlformats.org/officeDocument/2006/relationships/hyperlink" Target="https://drive.google.com/file/d/1znzxU7h_yRVlD4rI90uUTgJrboqXpOWI/view?usp=drivesdk" TargetMode="External"/><Relationship Id="rId255" Type="http://schemas.openxmlformats.org/officeDocument/2006/relationships/hyperlink" Target="https://drive.google.com/file/d/1_uUYOMuquFEWKohudhG77OsMWDrIan_x/view?usp=drivesdk" TargetMode="External"/><Relationship Id="rId376" Type="http://schemas.openxmlformats.org/officeDocument/2006/relationships/hyperlink" Target="https://drive.google.com/file/d/1KMqd1S6OpOgM-4IqGaVgsrdwp7hQQ3a_/view?usp=drivesdk" TargetMode="External"/><Relationship Id="rId133" Type="http://schemas.openxmlformats.org/officeDocument/2006/relationships/hyperlink" Target="https://drive.google.com/file/d/1hAA_B1XBu8xld4Fhl5sbF3ANh0LKxCcJ/view?usp=drivesdk" TargetMode="External"/><Relationship Id="rId254" Type="http://schemas.openxmlformats.org/officeDocument/2006/relationships/hyperlink" Target="https://drive.google.com/file/d/1xM15eS386pT52fAAqYi8OhtA3KVCz-U-/view?usp=drivesdk" TargetMode="External"/><Relationship Id="rId375" Type="http://schemas.openxmlformats.org/officeDocument/2006/relationships/hyperlink" Target="https://drive.google.com/file/d/1gHx3YjBVpBF6Ri2oWhxe8Giymu4NSIHy/view?usp=drivesdk" TargetMode="External"/><Relationship Id="rId172" Type="http://schemas.openxmlformats.org/officeDocument/2006/relationships/hyperlink" Target="https://drive.google.com/file/d/1nINeeQKAZucPGwayofBaXV204Qe8UBWG/view?usp=drivesdk" TargetMode="External"/><Relationship Id="rId293" Type="http://schemas.openxmlformats.org/officeDocument/2006/relationships/hyperlink" Target="https://drive.google.com/file/d/1kF32JLLXHnORcm5ZLilotTHpStApobxD/view?usp=drivesdk" TargetMode="External"/><Relationship Id="rId171" Type="http://schemas.openxmlformats.org/officeDocument/2006/relationships/hyperlink" Target="https://drive.google.com/file/d/1YcqlAAGY0E_4MdT6NuCXHpGnXL0W95Nn/view?usp=drivesdk" TargetMode="External"/><Relationship Id="rId292" Type="http://schemas.openxmlformats.org/officeDocument/2006/relationships/hyperlink" Target="https://drive.google.com/file/d/1ZsnRV2BF4pMLD5UjPJ8WJ_J_I79RUuG0/view?usp=drivesdk" TargetMode="External"/><Relationship Id="rId170" Type="http://schemas.openxmlformats.org/officeDocument/2006/relationships/hyperlink" Target="https://drive.google.com/file/d/1OUCTLYJQnLFgRM6dXiwjh32XV6YQlgXR/view?usp=drivesdk" TargetMode="External"/><Relationship Id="rId291" Type="http://schemas.openxmlformats.org/officeDocument/2006/relationships/hyperlink" Target="https://drive.google.com/file/d/19ZSbev-i6y_tCAMCHE7giB55R0J6YBhc/view?usp=drivesdk" TargetMode="External"/><Relationship Id="rId290" Type="http://schemas.openxmlformats.org/officeDocument/2006/relationships/hyperlink" Target="https://drive.google.com/file/d/18ESQB08D7JDMmvCF5e3OJuCsI2FXzlQo/view?usp=drivesdk" TargetMode="External"/><Relationship Id="rId165" Type="http://schemas.openxmlformats.org/officeDocument/2006/relationships/hyperlink" Target="https://drive.google.com/file/d/1qwS2oQjkeII8qGUhbuF6xQQKYl72E_OW/view?usp=drivesdk" TargetMode="External"/><Relationship Id="rId286" Type="http://schemas.openxmlformats.org/officeDocument/2006/relationships/hyperlink" Target="https://drive.google.com/file/d/1Urzx3KR4gMdRkg0E-wKRA2pBZXROUoq0/view?usp=drivesdk" TargetMode="External"/><Relationship Id="rId164" Type="http://schemas.openxmlformats.org/officeDocument/2006/relationships/hyperlink" Target="https://drive.google.com/file/d/1ExrW7kYRPAPKEZpYxJw9JEOt2Z9dYKdt/view?usp=drivesdk" TargetMode="External"/><Relationship Id="rId285" Type="http://schemas.openxmlformats.org/officeDocument/2006/relationships/hyperlink" Target="https://drive.google.com/file/d/1hk844IpNnEf-l8rNewUaoLyl3gPXIw0q/view?usp=drivesdk" TargetMode="External"/><Relationship Id="rId163" Type="http://schemas.openxmlformats.org/officeDocument/2006/relationships/hyperlink" Target="https://drive.google.com/file/d/1F4RJeOm42qnwF1kZ03VWdpKJfMTjfDpJ/view?usp=drivesdk" TargetMode="External"/><Relationship Id="rId284" Type="http://schemas.openxmlformats.org/officeDocument/2006/relationships/hyperlink" Target="https://drive.google.com/file/d/1DGhXc_KY0zMUpODO1Kok-RbK9uJDKiVi/view?usp=drivesdk" TargetMode="External"/><Relationship Id="rId162" Type="http://schemas.openxmlformats.org/officeDocument/2006/relationships/hyperlink" Target="https://drive.google.com/file/d/1qM2BITOjXesB20TakuYCr7DBAM7Ia5p3/view?usp=drivesdk" TargetMode="External"/><Relationship Id="rId283" Type="http://schemas.openxmlformats.org/officeDocument/2006/relationships/hyperlink" Target="https://drive.google.com/file/d/1o2whf3rsAUx7A6lwGM6HqaouJV_EsS-5/view?usp=drivesdk" TargetMode="External"/><Relationship Id="rId169" Type="http://schemas.openxmlformats.org/officeDocument/2006/relationships/hyperlink" Target="https://drive.google.com/file/d/1mQk0LmpAXquJAqqogU-gbwBj1atcOuFY/view?usp=drivesdk" TargetMode="External"/><Relationship Id="rId168" Type="http://schemas.openxmlformats.org/officeDocument/2006/relationships/hyperlink" Target="https://drive.google.com/file/d/1ExZHqlS7yLL2ewGsRUEsfvhSGU3fiDRP/view?usp=drivesdk" TargetMode="External"/><Relationship Id="rId289" Type="http://schemas.openxmlformats.org/officeDocument/2006/relationships/hyperlink" Target="https://drive.google.com/file/d/1WoU-V1s1t7t4aDJbgog3W3_hXhP6tFpL/view?usp=drivesdk" TargetMode="External"/><Relationship Id="rId167" Type="http://schemas.openxmlformats.org/officeDocument/2006/relationships/hyperlink" Target="https://drive.google.com/file/d/1-ljZFOW2GG4GlZdaS9hixLqQjk7R_Cd7/view?usp=drivesdk" TargetMode="External"/><Relationship Id="rId288" Type="http://schemas.openxmlformats.org/officeDocument/2006/relationships/hyperlink" Target="https://drive.google.com/file/d/1Xu4Bfjw783qi5VKBRde8AeM2pSF-Suo4/view?usp=drivesdk" TargetMode="External"/><Relationship Id="rId166" Type="http://schemas.openxmlformats.org/officeDocument/2006/relationships/hyperlink" Target="https://drive.google.com/file/d/1CzspbPkALJoF1UGDOPulUFmDBSTXhG-h/view?usp=drivesdk" TargetMode="External"/><Relationship Id="rId287" Type="http://schemas.openxmlformats.org/officeDocument/2006/relationships/hyperlink" Target="https://drive.google.com/file/d/1zt9xAn5Jxb6lw2mYvePNhPCbGn5eVRrF/view?usp=drivesdk" TargetMode="External"/><Relationship Id="rId161" Type="http://schemas.openxmlformats.org/officeDocument/2006/relationships/hyperlink" Target="https://drive.google.com/file/d/1_6ClfmBDe58XfeqNgQ7KW76rfpR6i6J3/view?usp=drivesdk" TargetMode="External"/><Relationship Id="rId282" Type="http://schemas.openxmlformats.org/officeDocument/2006/relationships/hyperlink" Target="https://drive.google.com/file/d/1aNDphxb7f9-YTKYBdG4Kom466EWVF3Vy/view?usp=drivesdk" TargetMode="External"/><Relationship Id="rId160" Type="http://schemas.openxmlformats.org/officeDocument/2006/relationships/hyperlink" Target="https://drive.google.com/file/d/1EtIYofS0dwExJu_xpTdF--MKC7QfbBse/view?usp=drivesdk" TargetMode="External"/><Relationship Id="rId281" Type="http://schemas.openxmlformats.org/officeDocument/2006/relationships/hyperlink" Target="https://drive.google.com/file/d/19DHSDKrFGGbLJmmOnkJu2x8gPQ48-ilJ/view?usp=drivesdk" TargetMode="External"/><Relationship Id="rId280" Type="http://schemas.openxmlformats.org/officeDocument/2006/relationships/hyperlink" Target="https://drive.google.com/file/d/1zwED4u89BoVMYg-JBydtzJK0QvzywuQs/view?usp=drivesdk" TargetMode="External"/><Relationship Id="rId159" Type="http://schemas.openxmlformats.org/officeDocument/2006/relationships/hyperlink" Target="https://drive.google.com/file/d/1VsqpwZQkbAMMgtHr1zey0mX8EnbP1m7j/view?usp=drivesdk" TargetMode="External"/><Relationship Id="rId154" Type="http://schemas.openxmlformats.org/officeDocument/2006/relationships/hyperlink" Target="https://drive.google.com/file/d/1Oibhpm3EUNQlYs3zcg9kD5PE8HwF28qP/view?usp=drivesdk" TargetMode="External"/><Relationship Id="rId275" Type="http://schemas.openxmlformats.org/officeDocument/2006/relationships/hyperlink" Target="https://drive.google.com/file/d/1g2B-xKPL-AKxXK7GSAsGjqooQWpm0COQ/view?usp=drivesdk" TargetMode="External"/><Relationship Id="rId153" Type="http://schemas.openxmlformats.org/officeDocument/2006/relationships/hyperlink" Target="https://drive.google.com/file/d/1jTbhzRnt06UOM0Z5WiLQshQ0iZrK_j-V/view?usp=drivesdk" TargetMode="External"/><Relationship Id="rId274" Type="http://schemas.openxmlformats.org/officeDocument/2006/relationships/hyperlink" Target="https://drive.google.com/file/d/1FMTUPZfgVzXPX0ouaSmYWj9j0cHiFr1h/view?usp=drivesdk" TargetMode="External"/><Relationship Id="rId395" Type="http://schemas.openxmlformats.org/officeDocument/2006/relationships/drawing" Target="../drawings/drawing1.xml"/><Relationship Id="rId152" Type="http://schemas.openxmlformats.org/officeDocument/2006/relationships/hyperlink" Target="https://drive.google.com/file/d/1_UMIv7duslGOYUUXDIQm3wC0ucnGipg6/view?usp=drivesdk" TargetMode="External"/><Relationship Id="rId273" Type="http://schemas.openxmlformats.org/officeDocument/2006/relationships/hyperlink" Target="https://drive.google.com/file/d/1LCMvoKiuBI5ppVgHwk43mhV0Glu8bEww/view?usp=drivesdk" TargetMode="External"/><Relationship Id="rId394" Type="http://schemas.openxmlformats.org/officeDocument/2006/relationships/hyperlink" Target="https://drive.google.com/file/d/188LLHp6Qyk1Whguqta2QSUueeC_taOWn/view?usp=drivesdk" TargetMode="External"/><Relationship Id="rId151" Type="http://schemas.openxmlformats.org/officeDocument/2006/relationships/hyperlink" Target="https://drive.google.com/file/d/1OAwNYtP3vpcgItptbb2LYzYZOqpaMABh/view?usp=drivesdk" TargetMode="External"/><Relationship Id="rId272" Type="http://schemas.openxmlformats.org/officeDocument/2006/relationships/hyperlink" Target="https://drive.google.com/file/d/1UR08ESMibTavCBkd1G_KeD1XlORQXqpd/view?usp=drivesdk" TargetMode="External"/><Relationship Id="rId393" Type="http://schemas.openxmlformats.org/officeDocument/2006/relationships/hyperlink" Target="https://drive.google.com/file/d/1nxzryUXjWpXD5HKxLxZZGeI1aaykkiTf/view?usp=drivesdk" TargetMode="External"/><Relationship Id="rId158" Type="http://schemas.openxmlformats.org/officeDocument/2006/relationships/hyperlink" Target="https://drive.google.com/file/d/1mEtBsgl-baJWJOlHoRpVKqd46JEowklK/view?usp=drivesdk" TargetMode="External"/><Relationship Id="rId279" Type="http://schemas.openxmlformats.org/officeDocument/2006/relationships/hyperlink" Target="https://drive.google.com/file/d/1OKGMbxYDiRSue-dv38aiCDOQREaValHR/view?usp=drive_link" TargetMode="External"/><Relationship Id="rId157" Type="http://schemas.openxmlformats.org/officeDocument/2006/relationships/hyperlink" Target="https://drive.google.com/file/d/1eahqxBHlbw84qoOsZvLXeHO65MUOvQdZ/view?usp=drivesdk" TargetMode="External"/><Relationship Id="rId278" Type="http://schemas.openxmlformats.org/officeDocument/2006/relationships/hyperlink" Target="https://drive.google.com/file/d/1XUw3ygUsrIrCsWh8Czr6e8z378cOEADI/view?usp=drive_link" TargetMode="External"/><Relationship Id="rId156" Type="http://schemas.openxmlformats.org/officeDocument/2006/relationships/hyperlink" Target="https://drive.google.com/file/d/1Z8664OMiU_9sR5Gn3VphQSUk8nfzbWoJ/view?usp=drivesdk" TargetMode="External"/><Relationship Id="rId277" Type="http://schemas.openxmlformats.org/officeDocument/2006/relationships/hyperlink" Target="https://drive.google.com/file/d/1Ux3EqMd4YbkRHD10Zm4VmqT8__txPiec/view?usp=drive_link" TargetMode="External"/><Relationship Id="rId155" Type="http://schemas.openxmlformats.org/officeDocument/2006/relationships/hyperlink" Target="https://drive.google.com/file/d/1sGIrbJ9HqxzMCcVU5T8iwiEmCquIFVj9/view?usp=drivesdk" TargetMode="External"/><Relationship Id="rId276" Type="http://schemas.openxmlformats.org/officeDocument/2006/relationships/hyperlink" Target="https://drive.google.com/file/d/10a6bV2GlJK7P1HO322KNl1ST8MtA73A7/view?usp=drivesdk" TargetMode="External"/><Relationship Id="rId397" Type="http://schemas.openxmlformats.org/officeDocument/2006/relationships/table" Target="../tables/table1.xml"/><Relationship Id="rId40" Type="http://schemas.openxmlformats.org/officeDocument/2006/relationships/hyperlink" Target="https://drive.google.com/file/d/13Ov1u66CsJAKaXm_F_mZEMPr0Q0kCaEj/view?usp=drivesdk" TargetMode="External"/><Relationship Id="rId42" Type="http://schemas.openxmlformats.org/officeDocument/2006/relationships/hyperlink" Target="https://drive.google.com/file/d/106yN0AVsFaRZZTGsIW7vkzbnHU__ic1B/view?usp=drivesdk" TargetMode="External"/><Relationship Id="rId41" Type="http://schemas.openxmlformats.org/officeDocument/2006/relationships/hyperlink" Target="https://drive.google.com/file/d/1eOUXo-CaMFOLhfQA9CPWSd4WijcEvf7S/view?usp=drivesdk" TargetMode="External"/><Relationship Id="rId44" Type="http://schemas.openxmlformats.org/officeDocument/2006/relationships/hyperlink" Target="https://drive.google.com/file/d/1Rrss4JB0V4n9YzZ_xW_I5zmPnez0onks/view?usp=drivesdk" TargetMode="External"/><Relationship Id="rId43" Type="http://schemas.openxmlformats.org/officeDocument/2006/relationships/hyperlink" Target="https://drive.google.com/file/d/18JHFI0lOKa00R06zXoX-SD3SJvHE30p9/view?usp=drivesdk" TargetMode="External"/><Relationship Id="rId46" Type="http://schemas.openxmlformats.org/officeDocument/2006/relationships/hyperlink" Target="https://drive.google.com/file/d/1TdcuBx6C65IQJeGS_T9QXwfTMDl6OYgE/view?usp=drivesdk" TargetMode="External"/><Relationship Id="rId45" Type="http://schemas.openxmlformats.org/officeDocument/2006/relationships/hyperlink" Target="https://drive.google.com/file/d/1Sjn8ngl9ppDbrDqDe5k2kmwoQLpIZk6N/view?usp=drivesdk" TargetMode="External"/><Relationship Id="rId48" Type="http://schemas.openxmlformats.org/officeDocument/2006/relationships/hyperlink" Target="https://drive.google.com/file/d/1VthwbV0caVL53MmMFefInjDd4mTYukgQ/view?usp=drivesdk" TargetMode="External"/><Relationship Id="rId47" Type="http://schemas.openxmlformats.org/officeDocument/2006/relationships/hyperlink" Target="https://drive.google.com/file/d/1UdW1RthgQLSQ4M3NJw6wR9a-dCBRvl2s/view?usp=drivesdk" TargetMode="External"/><Relationship Id="rId49" Type="http://schemas.openxmlformats.org/officeDocument/2006/relationships/hyperlink" Target="https://drive.google.com/file/d/1bD7uO7ES7nDCvgRcMCXdlnsOjLg8upto/view?usp=drivesdk" TargetMode="External"/><Relationship Id="rId31" Type="http://schemas.openxmlformats.org/officeDocument/2006/relationships/hyperlink" Target="https://drive.google.com/file/d/1utxrhzpd-V2_vzz25daEkpyH66qoZols/view?usp=drivesdk" TargetMode="External"/><Relationship Id="rId30" Type="http://schemas.openxmlformats.org/officeDocument/2006/relationships/hyperlink" Target="https://drive.google.com/file/d/1-l7yW1KA1ETNEAoI2Dp5UNk_8bG-V-_S/view?usp=drivesdk" TargetMode="External"/><Relationship Id="rId33" Type="http://schemas.openxmlformats.org/officeDocument/2006/relationships/hyperlink" Target="https://drive.google.com/file/d/1hir9Yes82c3FI0gnd_6ZAC2u0OUuxIJD/view?usp=drivesdk" TargetMode="External"/><Relationship Id="rId32" Type="http://schemas.openxmlformats.org/officeDocument/2006/relationships/hyperlink" Target="https://drive.google.com/file/d/1_bXPiAKnpwVobaKFmgrsFfIWrgsT4quL/view?usp=drivesdk" TargetMode="External"/><Relationship Id="rId35" Type="http://schemas.openxmlformats.org/officeDocument/2006/relationships/hyperlink" Target="https://drive.google.com/file/d/1natuoyV_9VZ4huFe56JuRQrcIeqfujRA/view?usp=drivesdk" TargetMode="External"/><Relationship Id="rId34" Type="http://schemas.openxmlformats.org/officeDocument/2006/relationships/hyperlink" Target="https://drive.google.com/file/d/1EAO7-xCai8ltCAxCJlmlGfaQw6K23lo5/view?usp=drivesdk" TargetMode="External"/><Relationship Id="rId37" Type="http://schemas.openxmlformats.org/officeDocument/2006/relationships/hyperlink" Target="https://drive.google.com/file/d/1TkI3JVHKsGpFP9pO0ppJoVxAm0VIHzIx/view?usp=drivesdk" TargetMode="External"/><Relationship Id="rId36" Type="http://schemas.openxmlformats.org/officeDocument/2006/relationships/hyperlink" Target="https://drive.google.com/file/d/1UOPGxUEqif6FjhOKDkFi2XBqhG-MvcDV/view?usp=drivesdk" TargetMode="External"/><Relationship Id="rId39" Type="http://schemas.openxmlformats.org/officeDocument/2006/relationships/hyperlink" Target="https://drive.google.com/file/d/1PkROsBP-SiKHyulex0X7wXEpSX8XQRuh/view?usp=drivesdk" TargetMode="External"/><Relationship Id="rId38" Type="http://schemas.openxmlformats.org/officeDocument/2006/relationships/hyperlink" Target="https://drive.google.com/file/d/11qr8FOM1aTr2LiwL6DOZP1AiJ5Buv27N/view?usp=drivesdk" TargetMode="External"/><Relationship Id="rId20" Type="http://schemas.openxmlformats.org/officeDocument/2006/relationships/hyperlink" Target="https://drive.google.com/file/d/1iUJqCEN1cowxmLSTGH1mrCi5UZKG5ku7/view?usp=drivesdk" TargetMode="External"/><Relationship Id="rId22" Type="http://schemas.openxmlformats.org/officeDocument/2006/relationships/hyperlink" Target="https://drive.google.com/file/d/1tQ00Q5ZA0fNDordlFo3CYb-qOrnp7A_Z/view?usp=drivesdk" TargetMode="External"/><Relationship Id="rId21" Type="http://schemas.openxmlformats.org/officeDocument/2006/relationships/hyperlink" Target="https://drive.google.com/file/d/1QBqdXFJwPEtEtIAB_A3fNq1if4Y6xotG/view?usp=drivesdk" TargetMode="External"/><Relationship Id="rId24" Type="http://schemas.openxmlformats.org/officeDocument/2006/relationships/hyperlink" Target="https://drive.google.com/file/d/1GfyaVUIvEBZWIqb5NVlXLOqlQHyLLg0v/view?usp=drivesdk" TargetMode="External"/><Relationship Id="rId23" Type="http://schemas.openxmlformats.org/officeDocument/2006/relationships/hyperlink" Target="https://drive.google.com/file/d/1RzvlUjNyTt06snARIK4RDPTxcZRK1pGH/view?usp=drivesdk" TargetMode="External"/><Relationship Id="rId26" Type="http://schemas.openxmlformats.org/officeDocument/2006/relationships/hyperlink" Target="https://drive.google.com/file/d/1v8s-lHxA4TtDzrb8txgITbnlohBDb-8J/view?usp=drivesdk" TargetMode="External"/><Relationship Id="rId25" Type="http://schemas.openxmlformats.org/officeDocument/2006/relationships/hyperlink" Target="https://drive.google.com/file/d/1pag9kG90EtdNMDLLUvugIb2tCj1mDuj3/view?usp=drivesdk" TargetMode="External"/><Relationship Id="rId28" Type="http://schemas.openxmlformats.org/officeDocument/2006/relationships/hyperlink" Target="https://drive.google.com/file/d/1kEtes2x8qkujZGxs3AJBi2iFWOtkGuks/view?usp=drivesdk" TargetMode="External"/><Relationship Id="rId27" Type="http://schemas.openxmlformats.org/officeDocument/2006/relationships/hyperlink" Target="https://drive.google.com/file/d/1cMqaXRE-sDKQn-KSifrxduVplEiEcouc/view?usp=drivesdk" TargetMode="External"/><Relationship Id="rId29" Type="http://schemas.openxmlformats.org/officeDocument/2006/relationships/hyperlink" Target="https://drive.google.com/file/d/1Wze1b4zGTg9GDEoN7RsepKv5f7543RMd/view?usp=drivesdk" TargetMode="External"/><Relationship Id="rId11" Type="http://schemas.openxmlformats.org/officeDocument/2006/relationships/hyperlink" Target="https://drive.google.com/file/d/1e3TkqR5Acj6Dpe9NXp81yniv_W45YMpX/view?usp=drivesdk" TargetMode="External"/><Relationship Id="rId10" Type="http://schemas.openxmlformats.org/officeDocument/2006/relationships/hyperlink" Target="https://drive.google.com/file/d/1J6wQSIhCp7TD44e-T20zr8C-PLzV2Hla/view?usp=drivesdk" TargetMode="External"/><Relationship Id="rId13" Type="http://schemas.openxmlformats.org/officeDocument/2006/relationships/hyperlink" Target="https://drive.google.com/file/d/1cwq7k45WPa3EGDDGwj4K_1ZtKC6nSlv2/view?usp=drivesdk" TargetMode="External"/><Relationship Id="rId12" Type="http://schemas.openxmlformats.org/officeDocument/2006/relationships/hyperlink" Target="https://drive.google.com/file/d/1wgLLyEgCesgnXrr5sBek_xST_AbZ34r_/view?usp=drivesdk" TargetMode="External"/><Relationship Id="rId15" Type="http://schemas.openxmlformats.org/officeDocument/2006/relationships/hyperlink" Target="https://drive.google.com/file/d/1IHlkXKRXkHnVFWNQf46KIT8rzGXbT16e/view?usp=drivesdk" TargetMode="External"/><Relationship Id="rId14" Type="http://schemas.openxmlformats.org/officeDocument/2006/relationships/hyperlink" Target="https://drive.google.com/file/d/1oYhpShkmaPDwrMSZbDhUISkE_RGGwXa3/view?usp=drivesdk" TargetMode="External"/><Relationship Id="rId17" Type="http://schemas.openxmlformats.org/officeDocument/2006/relationships/hyperlink" Target="https://drive.google.com/file/d/1PL1V_7zSli-K8ss3COjhAabwQ5NnOUYv/view?usp=drivesdk" TargetMode="External"/><Relationship Id="rId16" Type="http://schemas.openxmlformats.org/officeDocument/2006/relationships/hyperlink" Target="https://drive.google.com/file/d/1cgI8rMJtYGg2xHDOMRl5J9I10zE8oNun/view?usp=drivesdk" TargetMode="External"/><Relationship Id="rId19" Type="http://schemas.openxmlformats.org/officeDocument/2006/relationships/hyperlink" Target="https://drive.google.com/file/d/12ccRBjU8odo1YL7SU3E_S-GS46ZSn1hT/view?usp=drivesdk" TargetMode="External"/><Relationship Id="rId18" Type="http://schemas.openxmlformats.org/officeDocument/2006/relationships/hyperlink" Target="https://drive.google.com/file/d/1WnJPbUmYv8zRUjrex1CMTyAsu3nW8nlx/view?usp=drivesdk" TargetMode="External"/><Relationship Id="rId84" Type="http://schemas.openxmlformats.org/officeDocument/2006/relationships/hyperlink" Target="https://drive.google.com/file/d/1DU3YM_gsfy1XVWQZTmXZnoBSRIiuCLKF/view?usp=drivesdk" TargetMode="External"/><Relationship Id="rId83" Type="http://schemas.openxmlformats.org/officeDocument/2006/relationships/hyperlink" Target="https://drive.google.com/file/d/1ML8jce_oPRSj2BIjw07wPdDgDKI9IA7G/view?usp=drivesdk" TargetMode="External"/><Relationship Id="rId86" Type="http://schemas.openxmlformats.org/officeDocument/2006/relationships/hyperlink" Target="https://drive.google.com/file/d/1AyVjoPYw5br_UfR-RrVxxBD94oKK37Mi/view?usp=drivesdk" TargetMode="External"/><Relationship Id="rId85" Type="http://schemas.openxmlformats.org/officeDocument/2006/relationships/hyperlink" Target="https://drive.google.com/file/d/1wD0c64kxKGMRBkGdcKi1nKv1KeT1CK2K/view?usp=drivesdk" TargetMode="External"/><Relationship Id="rId88" Type="http://schemas.openxmlformats.org/officeDocument/2006/relationships/hyperlink" Target="https://drive.google.com/file/d/1dT7cHXFSVWwgSMFGukiDiFqHA9f2wbph/view?usp=drivesdk" TargetMode="External"/><Relationship Id="rId87" Type="http://schemas.openxmlformats.org/officeDocument/2006/relationships/hyperlink" Target="https://drive.google.com/file/d/1ixQ4G_qDxTM2oI-VYd3UVSUtIdbjNTFf/view?usp=drivesdk" TargetMode="External"/><Relationship Id="rId89" Type="http://schemas.openxmlformats.org/officeDocument/2006/relationships/hyperlink" Target="https://drive.google.com/file/d/1Al4fbcxKbvMf5IhoOqBFKZxCpDSHKl29/view?usp=drivesdk" TargetMode="External"/><Relationship Id="rId80" Type="http://schemas.openxmlformats.org/officeDocument/2006/relationships/hyperlink" Target="https://drive.google.com/file/d/1dYZMI9xlPqYhPMgiZdmZkUAS24sz6dk-/view?usp=drivesdk" TargetMode="External"/><Relationship Id="rId82" Type="http://schemas.openxmlformats.org/officeDocument/2006/relationships/hyperlink" Target="https://drive.google.com/file/d/1dQpNFTllgfGu5dIIjI6Eq8bbocOUnk0H/view?usp=drivesdk" TargetMode="External"/><Relationship Id="rId81" Type="http://schemas.openxmlformats.org/officeDocument/2006/relationships/hyperlink" Target="https://drive.google.com/file/d/1fURfKC58majiap5vrrsU8jCMeIjVH_mg/view?usp=drivesdk" TargetMode="External"/><Relationship Id="rId73" Type="http://schemas.openxmlformats.org/officeDocument/2006/relationships/hyperlink" Target="https://drive.google.com/file/d/1Xump-vb_8Y0csLIyUMTWGSk0tPrFCmLv/view?usp=drivesdk" TargetMode="External"/><Relationship Id="rId72" Type="http://schemas.openxmlformats.org/officeDocument/2006/relationships/hyperlink" Target="https://drive.google.com/file/d/1FWS_917g12pKRxKqSAH0oZKW3HXz8llg/view?usp=drivesdk" TargetMode="External"/><Relationship Id="rId75" Type="http://schemas.openxmlformats.org/officeDocument/2006/relationships/hyperlink" Target="https://drive.google.com/file/d/1XRG9QwTb93QqzvR-e-_RtRvKC70vO4U9/view?usp=drivesdk" TargetMode="External"/><Relationship Id="rId74" Type="http://schemas.openxmlformats.org/officeDocument/2006/relationships/hyperlink" Target="https://drive.google.com/file/d/1ck-Ad11MAPVJIeYU6zBFJW6_DUlED9LG/view?usp=drivesdk" TargetMode="External"/><Relationship Id="rId77" Type="http://schemas.openxmlformats.org/officeDocument/2006/relationships/hyperlink" Target="https://drive.google.com/file/d/1mLWPJfZSZbX6hutCMTajszSCAEYebrx7/view?usp=drivesdk" TargetMode="External"/><Relationship Id="rId76" Type="http://schemas.openxmlformats.org/officeDocument/2006/relationships/hyperlink" Target="https://drive.google.com/file/d/1GJ1dTm_4B-pt7RRvILGvlnEuOm0MJAB6/view?usp=drivesdk" TargetMode="External"/><Relationship Id="rId79" Type="http://schemas.openxmlformats.org/officeDocument/2006/relationships/hyperlink" Target="https://drive.google.com/file/d/1uUwo46Cpy800HJ7Nw3rpFQEk1szt9dJI/view?usp=drivesdk" TargetMode="External"/><Relationship Id="rId78" Type="http://schemas.openxmlformats.org/officeDocument/2006/relationships/hyperlink" Target="https://drive.google.com/file/d/1xs8a7y1FhXVVS3nMjRazQ57Oo9AzDE7Q/view?usp=drivesdk" TargetMode="External"/><Relationship Id="rId71" Type="http://schemas.openxmlformats.org/officeDocument/2006/relationships/hyperlink" Target="https://drive.google.com/file/d/1ZanqX_UccyAt0aZxY4vJQxqFWlOnVl55/view?usp=drivesdk" TargetMode="External"/><Relationship Id="rId70" Type="http://schemas.openxmlformats.org/officeDocument/2006/relationships/hyperlink" Target="https://drive.google.com/file/d/1atZFdCaUAXO8LEQRI0hsplVZGj3WDoUZ/view?usp=drivesdk" TargetMode="External"/><Relationship Id="rId62" Type="http://schemas.openxmlformats.org/officeDocument/2006/relationships/hyperlink" Target="https://drive.google.com/file/d/1-hUqPhb2vt96wyn5-aJgGVVXlz9Jbu7C/view?usp=drivesdk" TargetMode="External"/><Relationship Id="rId61" Type="http://schemas.openxmlformats.org/officeDocument/2006/relationships/hyperlink" Target="https://drive.google.com/file/d/1rK1mHhoHGoe4Ktg849Nkk1YVVWrF6wqn/view?usp=drivesdk" TargetMode="External"/><Relationship Id="rId64" Type="http://schemas.openxmlformats.org/officeDocument/2006/relationships/hyperlink" Target="https://drive.google.com/file/d/1YmoOiOxxRSpbil-JCjFlJvXIF9uIjwqk/view?usp=drivesdk" TargetMode="External"/><Relationship Id="rId63" Type="http://schemas.openxmlformats.org/officeDocument/2006/relationships/hyperlink" Target="https://drive.google.com/file/d/14IVpg-C43bou7h-_Xe9ojQ1wL7kqhrkZ/view?usp=drivesdk" TargetMode="External"/><Relationship Id="rId66" Type="http://schemas.openxmlformats.org/officeDocument/2006/relationships/hyperlink" Target="https://drive.google.com/file/d/1tVH-5KvM9CqAaMPXeW7v5jrx07KaReiA/view?usp=drivesdk" TargetMode="External"/><Relationship Id="rId65" Type="http://schemas.openxmlformats.org/officeDocument/2006/relationships/hyperlink" Target="https://drive.google.com/file/d/1C9qLt1hHfaXhiBBOQx5JcoO8ha3dhcV1/view?usp=drivesdk" TargetMode="External"/><Relationship Id="rId68" Type="http://schemas.openxmlformats.org/officeDocument/2006/relationships/hyperlink" Target="https://drive.google.com/file/d/1cfu79rHqYBVEDJ4EeIyOXKIpqVRTlEfy/view?usp=drivesdk" TargetMode="External"/><Relationship Id="rId67" Type="http://schemas.openxmlformats.org/officeDocument/2006/relationships/hyperlink" Target="https://drive.google.com/file/d/1DpxekTaepVodBrjCShEvibbvXb5ylUWV/view?usp=drivesdk" TargetMode="External"/><Relationship Id="rId60" Type="http://schemas.openxmlformats.org/officeDocument/2006/relationships/hyperlink" Target="https://drive.google.com/file/d/1Xmakd3YOGicoWxurPzbKiRqQrHspLRAu/view?usp=drivesdk" TargetMode="External"/><Relationship Id="rId69" Type="http://schemas.openxmlformats.org/officeDocument/2006/relationships/hyperlink" Target="https://drive.google.com/file/d/1cpW-sEtFrKQgSWm36uitCl1ndJN31xcj/view?usp=drivesdk" TargetMode="External"/><Relationship Id="rId51" Type="http://schemas.openxmlformats.org/officeDocument/2006/relationships/hyperlink" Target="https://drive.google.com/file/d/1oFYdmPaJvHC3W9mXau1qkAeA33wqgbpz/view?usp=drivesdk" TargetMode="External"/><Relationship Id="rId50" Type="http://schemas.openxmlformats.org/officeDocument/2006/relationships/hyperlink" Target="https://drive.google.com/file/d/19myzHN1UJG4BewxLf7DpU2AJlDRT7dqY/view?usp=drivesdk" TargetMode="External"/><Relationship Id="rId53" Type="http://schemas.openxmlformats.org/officeDocument/2006/relationships/hyperlink" Target="https://drive.google.com/file/d/1gevsT8NjY-C9Ip11hhNP5wuyAmKb-2sO/view?usp=drivesdk" TargetMode="External"/><Relationship Id="rId52" Type="http://schemas.openxmlformats.org/officeDocument/2006/relationships/hyperlink" Target="https://drive.google.com/file/d/1g3_7HpKORFwXf95v_3S9156iwtd9jg1P/view?usp=drivesdk" TargetMode="External"/><Relationship Id="rId55" Type="http://schemas.openxmlformats.org/officeDocument/2006/relationships/hyperlink" Target="https://drive.google.com/file/d/1S-3YFmQvNt3hApvkxVSVoSzZ1l2d4Y3a/view?usp=drivesdk" TargetMode="External"/><Relationship Id="rId54" Type="http://schemas.openxmlformats.org/officeDocument/2006/relationships/hyperlink" Target="https://drive.google.com/file/d/1emPouehjedX8QRlBvBaeohoom-D2stLI/view?usp=drivesdk" TargetMode="External"/><Relationship Id="rId57" Type="http://schemas.openxmlformats.org/officeDocument/2006/relationships/hyperlink" Target="https://drive.google.com/file/d/1UAsfzIeonqXi0Ce95vcr4M_UPlKOht7z/view?usp=drivesdk" TargetMode="External"/><Relationship Id="rId56" Type="http://schemas.openxmlformats.org/officeDocument/2006/relationships/hyperlink" Target="https://drive.google.com/file/d/1Rl4z-lcK-6TFBEaRKCA4l4gJhm4d00w_/view?usp=drivesdk" TargetMode="External"/><Relationship Id="rId59" Type="http://schemas.openxmlformats.org/officeDocument/2006/relationships/hyperlink" Target="https://drive.google.com/file/d/1A9yGIWJ_wtzVrne5bKvCQ9ElZb_yLbh8/view?usp=drivesdk" TargetMode="External"/><Relationship Id="rId58" Type="http://schemas.openxmlformats.org/officeDocument/2006/relationships/hyperlink" Target="https://drive.google.com/file/d/1SwRkUMORkNXL51BBnDlvy9HTDijboU56/view?usp=drivesdk" TargetMode="External"/><Relationship Id="rId107" Type="http://schemas.openxmlformats.org/officeDocument/2006/relationships/hyperlink" Target="https://drive.google.com/file/d/1fV4enekp5liOnEj_HZq73K0BQN7hPiWu/view?usp=drivesdk" TargetMode="External"/><Relationship Id="rId228" Type="http://schemas.openxmlformats.org/officeDocument/2006/relationships/hyperlink" Target="https://drive.google.com/file/d/1CwV3XFp9j3YNJ_d195IWYdN6ZvGf6Y3G/view?usp=drivesdk" TargetMode="External"/><Relationship Id="rId349" Type="http://schemas.openxmlformats.org/officeDocument/2006/relationships/hyperlink" Target="https://drive.google.com/file/d/1eJ-qUFuNu0HJZKinbA8Tdv4nnSVuIbbU/view?usp=drivesdk" TargetMode="External"/><Relationship Id="rId106" Type="http://schemas.openxmlformats.org/officeDocument/2006/relationships/hyperlink" Target="https://drive.google.com/file/d/1gx1VgR4Rl9dmGBQvU5DINE6UKJkHU_Dl/view?usp=drivesdk" TargetMode="External"/><Relationship Id="rId227" Type="http://schemas.openxmlformats.org/officeDocument/2006/relationships/hyperlink" Target="https://drive.google.com/file/d/1EQJ7-VAL-tDrUlnJhZYqhiHqdSYiQVpb/view?usp=drivesdk" TargetMode="External"/><Relationship Id="rId348" Type="http://schemas.openxmlformats.org/officeDocument/2006/relationships/hyperlink" Target="https://drive.google.com/file/d/1z4GfmiZTTOIUpH8cVel8JhXPOMOzRqJG/view?usp=drivesdk" TargetMode="External"/><Relationship Id="rId105" Type="http://schemas.openxmlformats.org/officeDocument/2006/relationships/hyperlink" Target="https://drive.google.com/file/d/1hzE_tECp-7YYXsui6Q96JRU6pCbtOWxU/view?usp=drivesdk" TargetMode="External"/><Relationship Id="rId226" Type="http://schemas.openxmlformats.org/officeDocument/2006/relationships/hyperlink" Target="https://drive.google.com/file/d/1TtmwBtyiM1YtlQKaxSpeBKxMdtUCnmEU/view?usp=drivesdk" TargetMode="External"/><Relationship Id="rId347" Type="http://schemas.openxmlformats.org/officeDocument/2006/relationships/hyperlink" Target="https://drive.google.com/file/d/1yIBa1rwudoiphlO0uvH_UyPurGU6mHQG/view?usp=drivesdk" TargetMode="External"/><Relationship Id="rId104" Type="http://schemas.openxmlformats.org/officeDocument/2006/relationships/hyperlink" Target="https://drive.google.com/file/d/1lKHvP4YYh10SbKDeHLpwi6KrZ7LTCDj3/view?usp=drivesdk" TargetMode="External"/><Relationship Id="rId225" Type="http://schemas.openxmlformats.org/officeDocument/2006/relationships/hyperlink" Target="https://drive.google.com/file/d/1N9xs7YspQYiQvtwpOqdq2veJYzwm3DFL/view?usp=drivesdk" TargetMode="External"/><Relationship Id="rId346" Type="http://schemas.openxmlformats.org/officeDocument/2006/relationships/hyperlink" Target="https://drive.google.com/file/d/160W1ui57fnc0lRbey2FxSzHvylCiqrMj/view?usp=drivesdk" TargetMode="External"/><Relationship Id="rId109" Type="http://schemas.openxmlformats.org/officeDocument/2006/relationships/hyperlink" Target="https://drive.google.com/file/d/1zQR0LUsC290wv2PEh1wXoiUo8N8mLGFK/view?usp=drivesdk" TargetMode="External"/><Relationship Id="rId108" Type="http://schemas.openxmlformats.org/officeDocument/2006/relationships/hyperlink" Target="https://drive.google.com/file/d/1--P1widQFFuOd_9_6W0CdGSpUY0uRU_b/view?usp=drivesdk" TargetMode="External"/><Relationship Id="rId229" Type="http://schemas.openxmlformats.org/officeDocument/2006/relationships/hyperlink" Target="https://drive.google.com/file/d/1n86vz7WA1gSSzcGoEP3VdseBVUnH8NYv/view?usp=drivesdk" TargetMode="External"/><Relationship Id="rId220" Type="http://schemas.openxmlformats.org/officeDocument/2006/relationships/hyperlink" Target="https://drive.google.com/file/d/10GPwOKnX4NI44hYEevyAUI7migPjLASf/view?usp=drivesdk" TargetMode="External"/><Relationship Id="rId341" Type="http://schemas.openxmlformats.org/officeDocument/2006/relationships/hyperlink" Target="https://drive.google.com/file/d/13b64Gjdiq1rEZDhMH3yLDArJO7eciXeH/view?usp=drivesdk" TargetMode="External"/><Relationship Id="rId340" Type="http://schemas.openxmlformats.org/officeDocument/2006/relationships/hyperlink" Target="https://drive.google.com/file/d/1L9uOSwR3ruJqEklsm-yighJHdud85x3_/view?usp=drivesdk" TargetMode="External"/><Relationship Id="rId103" Type="http://schemas.openxmlformats.org/officeDocument/2006/relationships/hyperlink" Target="https://drive.google.com/file/d/1K8OGh-n7Z7hslEgn8IZEdnc8jZHuxGQk/view?usp=drivesdk" TargetMode="External"/><Relationship Id="rId224" Type="http://schemas.openxmlformats.org/officeDocument/2006/relationships/hyperlink" Target="https://drive.google.com/file/d/1qCJyy0GpxFN0uOmO7w1hYt-hUAIASu5-/view?usp=drivesdk" TargetMode="External"/><Relationship Id="rId345" Type="http://schemas.openxmlformats.org/officeDocument/2006/relationships/hyperlink" Target="https://drive.google.com/file/d/1cKkU-CUYkvcNpEw3GkNy00TOg69njeoW/view?usp=drivesdk" TargetMode="External"/><Relationship Id="rId102" Type="http://schemas.openxmlformats.org/officeDocument/2006/relationships/hyperlink" Target="https://drive.google.com/file/d/1FULWWB6Z8AjvNJ9JbRqiB_gBd_LEMP0v/view?usp=drivesdk" TargetMode="External"/><Relationship Id="rId223" Type="http://schemas.openxmlformats.org/officeDocument/2006/relationships/hyperlink" Target="https://drive.google.com/file/d/1VsNQC1QzzjBGdaDrtcIf5jKJYBey0_fe/view?usp=drivesdk" TargetMode="External"/><Relationship Id="rId344" Type="http://schemas.openxmlformats.org/officeDocument/2006/relationships/hyperlink" Target="https://drive.google.com/file/d/1cNhUao2Ff2-1dstJO1s4t96hCvWkrwew/view?usp=drivesdk" TargetMode="External"/><Relationship Id="rId101" Type="http://schemas.openxmlformats.org/officeDocument/2006/relationships/hyperlink" Target="https://drive.google.com/file/d/10SePtPKvtl-_Fly5QvqYret_gntO5M1Z/view?usp=drivesdk" TargetMode="External"/><Relationship Id="rId222" Type="http://schemas.openxmlformats.org/officeDocument/2006/relationships/hyperlink" Target="https://drive.google.com/file/d/1CxnMjhcOmcinIs2kx0ZoRdKD6Bwg05ot/view?usp=drivesdk" TargetMode="External"/><Relationship Id="rId343" Type="http://schemas.openxmlformats.org/officeDocument/2006/relationships/hyperlink" Target="https://drive.google.com/file/d/1tssErETEnF1fbLvPdrwP__ZnJFTSJVq9/view?usp=drivesdk" TargetMode="External"/><Relationship Id="rId100" Type="http://schemas.openxmlformats.org/officeDocument/2006/relationships/hyperlink" Target="https://drive.google.com/file/d/1hq3IQLVkITq-3RjLfOmjjG4d2cQWhbtd/view?usp=drivesdk" TargetMode="External"/><Relationship Id="rId221" Type="http://schemas.openxmlformats.org/officeDocument/2006/relationships/hyperlink" Target="https://drive.google.com/file/d/1Zz63BNn03TEtGGfwrhsDfS3Read1xCy-/view?usp=drivesdk" TargetMode="External"/><Relationship Id="rId342" Type="http://schemas.openxmlformats.org/officeDocument/2006/relationships/hyperlink" Target="https://drive.google.com/file/d/1isESMlJF0B1lPpqoDOFCbjOcSTxhhG7V/view?usp=drivesdk" TargetMode="External"/><Relationship Id="rId217" Type="http://schemas.openxmlformats.org/officeDocument/2006/relationships/hyperlink" Target="https://drive.google.com/file/d/1cx7k4jx16JctQgtOG0EDlE9OaMDZDsas/view?usp=drivesdk" TargetMode="External"/><Relationship Id="rId338" Type="http://schemas.openxmlformats.org/officeDocument/2006/relationships/hyperlink" Target="https://drive.google.com/file/d/1Eb4yPQO9PnmS7h8W8A6sGOvJ_5V4KP5C/view?usp=drivesdk" TargetMode="External"/><Relationship Id="rId216" Type="http://schemas.openxmlformats.org/officeDocument/2006/relationships/hyperlink" Target="https://drive.google.com/file/d/1kzaiRASb9R2glMY3zcT-49Q7GtVMDe6p/view?usp=drivesdk" TargetMode="External"/><Relationship Id="rId337" Type="http://schemas.openxmlformats.org/officeDocument/2006/relationships/hyperlink" Target="https://drive.google.com/file/d/17OQqGqY-fcxk2LwiWLjcI8VA_o6bj53D/view?usp=drivesdk" TargetMode="External"/><Relationship Id="rId215" Type="http://schemas.openxmlformats.org/officeDocument/2006/relationships/hyperlink" Target="https://drive.google.com/file/d/1EBCVl2-bLc4iC4shZC7oyQNYxkdtm3xp/view?usp=drivesdk" TargetMode="External"/><Relationship Id="rId336" Type="http://schemas.openxmlformats.org/officeDocument/2006/relationships/hyperlink" Target="https://drive.google.com/file/d/1LYEa3IeBABboVjaK1Yo-pyJ940-m5E0r/view?usp=drivesdk" TargetMode="External"/><Relationship Id="rId214" Type="http://schemas.openxmlformats.org/officeDocument/2006/relationships/hyperlink" Target="https://drive.google.com/file/d/1v20r016hWgXZo58r5Uow_0kaLXFVBrhy/view?usp=drivesdk" TargetMode="External"/><Relationship Id="rId335" Type="http://schemas.openxmlformats.org/officeDocument/2006/relationships/hyperlink" Target="https://drive.google.com/file/d/1vf6IeSXs5gcyG9WRE-CL5r6PlEdFkuQD/view?usp=drivesdk" TargetMode="External"/><Relationship Id="rId219" Type="http://schemas.openxmlformats.org/officeDocument/2006/relationships/hyperlink" Target="https://drive.google.com/file/d/1DHzwds4b454rKNAzwniGV6LL41_wAuNS/view?usp=drivesdk" TargetMode="External"/><Relationship Id="rId218" Type="http://schemas.openxmlformats.org/officeDocument/2006/relationships/hyperlink" Target="https://drive.google.com/file/d/12PvA6SM4OKQqqN8KdA6BaIn-R9vWZket/view?usp=drivesdk" TargetMode="External"/><Relationship Id="rId339" Type="http://schemas.openxmlformats.org/officeDocument/2006/relationships/hyperlink" Target="https://drive.google.com/file/d/173ES37t-oY1KW0rqf1_Qd2QS_q5SX73E/view?usp=drivesdk" TargetMode="External"/><Relationship Id="rId330" Type="http://schemas.openxmlformats.org/officeDocument/2006/relationships/hyperlink" Target="https://drive.google.com/file/d/1XqfP7qFC1F7mtxyQv5htw7reoxCKv4eQ/view?usp=drivesdk" TargetMode="External"/><Relationship Id="rId213" Type="http://schemas.openxmlformats.org/officeDocument/2006/relationships/hyperlink" Target="https://drive.google.com/file/d/1QBQybxD5_wyOPLkqDbwsNtYEfXtxf0iT/view?usp=drivesdk" TargetMode="External"/><Relationship Id="rId334" Type="http://schemas.openxmlformats.org/officeDocument/2006/relationships/hyperlink" Target="https://drive.google.com/file/d/1dLVGEFfIKdsLd3NiPz8z-KnEb-yj1oDt/view?usp=drivesdk" TargetMode="External"/><Relationship Id="rId212" Type="http://schemas.openxmlformats.org/officeDocument/2006/relationships/hyperlink" Target="https://drive.google.com/file/d/15IdFmhJbmpiHHHLAcQVdYmG9khMCSxkB/view?usp=drivesdk" TargetMode="External"/><Relationship Id="rId333" Type="http://schemas.openxmlformats.org/officeDocument/2006/relationships/hyperlink" Target="https://drive.google.com/file/d/1sMH0bZm8jPz5uTYL3G8dWdRXbE0hu1El/view?usp=drivesdk" TargetMode="External"/><Relationship Id="rId211" Type="http://schemas.openxmlformats.org/officeDocument/2006/relationships/hyperlink" Target="https://drive.google.com/file/d/1wuKlMgmVD7Nti11lYJFtYZVsf8-JOeSw/view?usp=drivesdk" TargetMode="External"/><Relationship Id="rId332" Type="http://schemas.openxmlformats.org/officeDocument/2006/relationships/hyperlink" Target="https://drive.google.com/file/d/1XdqfSRBJH74as9XOnjsZS1gOuXRGnptx/view?usp=drivesdk" TargetMode="External"/><Relationship Id="rId210" Type="http://schemas.openxmlformats.org/officeDocument/2006/relationships/hyperlink" Target="https://drive.google.com/file/d/1hnH6LYraqDl6k6Hj1AOvQx9X2u9UKTwN/view?usp=drivesdk" TargetMode="External"/><Relationship Id="rId331" Type="http://schemas.openxmlformats.org/officeDocument/2006/relationships/hyperlink" Target="https://drive.google.com/file/d/1bGKEL_gpI3rsDHM9FGmTdLgCj2oogyYJ/view?usp=drivesdk" TargetMode="External"/><Relationship Id="rId370" Type="http://schemas.openxmlformats.org/officeDocument/2006/relationships/hyperlink" Target="https://drive.google.com/file/d/14kVqfZ2DF28c4M8_Np-gEXiN3knglAZH/view?usp=drivesdk" TargetMode="External"/><Relationship Id="rId129" Type="http://schemas.openxmlformats.org/officeDocument/2006/relationships/hyperlink" Target="https://drive.google.com/file/d/1GYmDE88_t4rT1JP9EzWNE6_sSOa_8i0u/view?usp=drivesdk" TargetMode="External"/><Relationship Id="rId128" Type="http://schemas.openxmlformats.org/officeDocument/2006/relationships/hyperlink" Target="https://drive.google.com/file/d/13WHlk_j-RzEhXeUe7lwNNKQtwsM0WWJh/view?usp=drivesdk" TargetMode="External"/><Relationship Id="rId249" Type="http://schemas.openxmlformats.org/officeDocument/2006/relationships/hyperlink" Target="https://drive.google.com/file/d/1gqJcO3EvOLNBlvFSf_jMuzQWEpOQBpMr/view?usp=drivesdk" TargetMode="External"/><Relationship Id="rId127" Type="http://schemas.openxmlformats.org/officeDocument/2006/relationships/hyperlink" Target="https://drive.google.com/file/d/1eNvAaOIAN64Pdg9YtiQkXIiM079HcE7X/view?usp=drivesdk" TargetMode="External"/><Relationship Id="rId248" Type="http://schemas.openxmlformats.org/officeDocument/2006/relationships/hyperlink" Target="https://drive.google.com/file/d/1bzNi3fPu53PLX8H1fsM62ExlGBHSl1rt/view?usp=drivesdk" TargetMode="External"/><Relationship Id="rId369" Type="http://schemas.openxmlformats.org/officeDocument/2006/relationships/hyperlink" Target="https://drive.google.com/file/d/1PYQNoZWdwFAiDQ2oVVMWgawXBrJ0MPEv/view?usp=drivesdk" TargetMode="External"/><Relationship Id="rId126" Type="http://schemas.openxmlformats.org/officeDocument/2006/relationships/hyperlink" Target="https://drive.google.com/file/d/1CVZYIZMj00wghjHoRbrGh23s03-kt6n8/view?usp=drivesdk" TargetMode="External"/><Relationship Id="rId247" Type="http://schemas.openxmlformats.org/officeDocument/2006/relationships/hyperlink" Target="https://drive.google.com/file/d/1M6Jraz3YyFXdPkv84jF4IlB2xNsSNGyb/view?usp=drivesdk" TargetMode="External"/><Relationship Id="rId368" Type="http://schemas.openxmlformats.org/officeDocument/2006/relationships/hyperlink" Target="https://drive.google.com/file/d/12Yfn8Vl0WaCdSZpGfSU2Ut1SNmrHgqeJ/view?usp=drivesdk" TargetMode="External"/><Relationship Id="rId121" Type="http://schemas.openxmlformats.org/officeDocument/2006/relationships/hyperlink" Target="https://drive.google.com/file/d/1A_mlOg6yzODnDJQwVPep4hjWrK6LkefQ/view?usp=drivesdk" TargetMode="External"/><Relationship Id="rId242" Type="http://schemas.openxmlformats.org/officeDocument/2006/relationships/hyperlink" Target="https://drive.google.com/file/d/1OaO7dF34qmenE3B80Pc9lN6F-PRRrXrN/view?usp=drivesdk" TargetMode="External"/><Relationship Id="rId363" Type="http://schemas.openxmlformats.org/officeDocument/2006/relationships/hyperlink" Target="https://drive.google.com/file/d/1_eMOJCZjaDdnTcY56eKQhKtURPEFdfag/view?usp=drivesdk" TargetMode="External"/><Relationship Id="rId120" Type="http://schemas.openxmlformats.org/officeDocument/2006/relationships/hyperlink" Target="https://drive.google.com/file/d/1EdMMnp9IlGFKLwN_djKM9_RWpuzKN7dw/view?usp=drivesdk" TargetMode="External"/><Relationship Id="rId241" Type="http://schemas.openxmlformats.org/officeDocument/2006/relationships/hyperlink" Target="https://drive.google.com/file/d/1XqpUflk02J-TnYo67sU3PvZ_VEG25S87/view?usp=drivesdk" TargetMode="External"/><Relationship Id="rId362" Type="http://schemas.openxmlformats.org/officeDocument/2006/relationships/hyperlink" Target="https://drive.google.com/file/d/14-EUL9qYjQ9uOjhdBnQ3LrRPPIK5f31R/view?usp=drivesdk" TargetMode="External"/><Relationship Id="rId240" Type="http://schemas.openxmlformats.org/officeDocument/2006/relationships/hyperlink" Target="https://drive.google.com/file/d/1Tqwxi-VRgSRIvfHj3FyrC1SVm6gue_AE/view?usp=drivesdk" TargetMode="External"/><Relationship Id="rId361" Type="http://schemas.openxmlformats.org/officeDocument/2006/relationships/hyperlink" Target="https://drive.google.com/file/d/1tkcxb54JWKRNpJHLmMaxqlUtVd1bR-a2/view?usp=drivesdk" TargetMode="External"/><Relationship Id="rId360" Type="http://schemas.openxmlformats.org/officeDocument/2006/relationships/hyperlink" Target="https://drive.google.com/file/d/1vb1PGXt1Tj29_NSRUPqXKklT7vK0rCAh/view?usp=drivesdk" TargetMode="External"/><Relationship Id="rId125" Type="http://schemas.openxmlformats.org/officeDocument/2006/relationships/hyperlink" Target="https://drive.google.com/file/d/1W9yqiVxfM3Ni0eVlbma1Opv65TsKiYTZ/view?usp=drivesdk" TargetMode="External"/><Relationship Id="rId246" Type="http://schemas.openxmlformats.org/officeDocument/2006/relationships/hyperlink" Target="https://drive.google.com/file/d/1IezsGaeV1zoFtVBe1DPkjcqYz6XgKnKP/view?usp=drivesdk" TargetMode="External"/><Relationship Id="rId367" Type="http://schemas.openxmlformats.org/officeDocument/2006/relationships/hyperlink" Target="https://drive.google.com/file/d/1HGAHVrTQCKxEeNoNWCIwVLvX73_g4g3n/view?usp=drivesdk" TargetMode="External"/><Relationship Id="rId124" Type="http://schemas.openxmlformats.org/officeDocument/2006/relationships/hyperlink" Target="https://drive.google.com/file/d/1qrEUsip19B--FkYc2pwZUbgQkl-tZeow/view?usp=drivesdk" TargetMode="External"/><Relationship Id="rId245" Type="http://schemas.openxmlformats.org/officeDocument/2006/relationships/hyperlink" Target="https://drive.google.com/file/d/1jXcJD_ManRREptnYjldmFYigJOuiolUc/view?usp=drivesdk" TargetMode="External"/><Relationship Id="rId366" Type="http://schemas.openxmlformats.org/officeDocument/2006/relationships/hyperlink" Target="https://drive.google.com/file/d/1ZkhE7vXc5JHD4fvRhdZp2juUdS8Oot8J/view?usp=drivesdk" TargetMode="External"/><Relationship Id="rId123" Type="http://schemas.openxmlformats.org/officeDocument/2006/relationships/hyperlink" Target="https://drive.google.com/file/d/1NVfA8svMj8pyOJVxF0qJWaMIN89RL8I_/view?usp=drivesdk" TargetMode="External"/><Relationship Id="rId244" Type="http://schemas.openxmlformats.org/officeDocument/2006/relationships/hyperlink" Target="https://drive.google.com/file/d/1hZpVM6aaWnrOOeOyWJvjlm5j76ovTA3H/view?usp=drivesdk" TargetMode="External"/><Relationship Id="rId365" Type="http://schemas.openxmlformats.org/officeDocument/2006/relationships/hyperlink" Target="https://drive.google.com/file/d/1zA3kIwsqW14nzejgZZFDpYqqt-8d9VqH/view?usp=drivesdk" TargetMode="External"/><Relationship Id="rId122" Type="http://schemas.openxmlformats.org/officeDocument/2006/relationships/hyperlink" Target="https://drive.google.com/file/d/1DK23J-ET74fspj4ubnIeECr5kN85FWxr/view?usp=drivesdk" TargetMode="External"/><Relationship Id="rId243" Type="http://schemas.openxmlformats.org/officeDocument/2006/relationships/hyperlink" Target="https://drive.google.com/file/d/1uvD0LUOCjJXnC77wzXgUk24yJ27LkM7z/view?usp=drivesdk" TargetMode="External"/><Relationship Id="rId364" Type="http://schemas.openxmlformats.org/officeDocument/2006/relationships/hyperlink" Target="https://drive.google.com/file/d/1icmKdZzno9iL56fA0tMtNUtr1Yypp1dy/view?usp=drivesdk" TargetMode="External"/><Relationship Id="rId95" Type="http://schemas.openxmlformats.org/officeDocument/2006/relationships/hyperlink" Target="https://drive.google.com/file/d/1Gx01g0iStvQ9Jx-51tu5BaM8Umy-oEXV/view?usp=drivesdk" TargetMode="External"/><Relationship Id="rId94" Type="http://schemas.openxmlformats.org/officeDocument/2006/relationships/hyperlink" Target="https://drive.google.com/file/d/1CO2bgSjw-2bgK3oGzFnoAK2VbqA_3UJA/view?usp=drivesdk" TargetMode="External"/><Relationship Id="rId97" Type="http://schemas.openxmlformats.org/officeDocument/2006/relationships/hyperlink" Target="https://drive.google.com/file/d/1zwRE1jq_NWGi6trLH8ZzkZgm-aNeEnPE/view?usp=drivesdk" TargetMode="External"/><Relationship Id="rId96" Type="http://schemas.openxmlformats.org/officeDocument/2006/relationships/hyperlink" Target="https://drive.google.com/file/d/1aF7pyAnhYdUz6vaHYcWhGK6tWSj_7X_t/view?usp=drivesdk" TargetMode="External"/><Relationship Id="rId99" Type="http://schemas.openxmlformats.org/officeDocument/2006/relationships/hyperlink" Target="https://drive.google.com/file/d/1T0j9HKoq8uUs6sJqn_OQcIKJwRFcRJ0c/view?usp=drivesdk" TargetMode="External"/><Relationship Id="rId98" Type="http://schemas.openxmlformats.org/officeDocument/2006/relationships/hyperlink" Target="https://drive.google.com/file/d/18gn02Fqt5Rm3zoieKhjbTdmaCO0mRu3c/view?usp=drivesdk" TargetMode="External"/><Relationship Id="rId91" Type="http://schemas.openxmlformats.org/officeDocument/2006/relationships/hyperlink" Target="https://drive.google.com/file/d/1bDXgWzB6y29r15MV3oPsCYRjaaKfvrsQ/view?usp=drivesdk" TargetMode="External"/><Relationship Id="rId90" Type="http://schemas.openxmlformats.org/officeDocument/2006/relationships/hyperlink" Target="https://drive.google.com/file/d/1C93GVETxYyxNIgSYzlTNYOi_cZg2iz3m/view?usp=drivesdk" TargetMode="External"/><Relationship Id="rId93" Type="http://schemas.openxmlformats.org/officeDocument/2006/relationships/hyperlink" Target="https://drive.google.com/file/d/1DP9QjipHSOaOxZAYIkGoc--HkbLSie27/view?usp=drivesdk" TargetMode="External"/><Relationship Id="rId92" Type="http://schemas.openxmlformats.org/officeDocument/2006/relationships/hyperlink" Target="https://drive.google.com/file/d/1QoPxh4xwoxEvRhoAWf_Xo9ap6NSuCOpf/view?usp=drivesdk" TargetMode="External"/><Relationship Id="rId118" Type="http://schemas.openxmlformats.org/officeDocument/2006/relationships/hyperlink" Target="https://drive.google.com/file/d/1XZepGbR5qfoNREQsrHeI6c8jKtS4mzBe/view?usp=drivesdk" TargetMode="External"/><Relationship Id="rId239" Type="http://schemas.openxmlformats.org/officeDocument/2006/relationships/hyperlink" Target="https://drive.google.com/file/d/17pMvS2eTJQ9pDiLGPL3dbv2bjeuExAUB/view?usp=drivesdk" TargetMode="External"/><Relationship Id="rId117" Type="http://schemas.openxmlformats.org/officeDocument/2006/relationships/hyperlink" Target="https://drive.google.com/file/d/1fvc_RIt_EcM7CjjN-tiMq3KtTone3xqy/view?usp=drivesdk" TargetMode="External"/><Relationship Id="rId238" Type="http://schemas.openxmlformats.org/officeDocument/2006/relationships/hyperlink" Target="https://drive.google.com/file/d/10F5zMzehQ-LieGo5ztvCLA7KJFr6srBK/view?usp=drivesdk" TargetMode="External"/><Relationship Id="rId359" Type="http://schemas.openxmlformats.org/officeDocument/2006/relationships/hyperlink" Target="https://drive.google.com/file/d/1B22nR8G9H2WIDBcaC3y_Tu9nb8ritwx3/view?usp=drivesdk" TargetMode="External"/><Relationship Id="rId116" Type="http://schemas.openxmlformats.org/officeDocument/2006/relationships/hyperlink" Target="https://drive.google.com/file/d/1f3WDdRjtLFan74aekbb4v_Dh2CpHRmTr/view?usp=drivesdk" TargetMode="External"/><Relationship Id="rId237" Type="http://schemas.openxmlformats.org/officeDocument/2006/relationships/hyperlink" Target="https://drive.google.com/file/d/10q4lHLBh2IiX_HHkR7xz2ldGIapx0oTH/view?usp=drivesdk" TargetMode="External"/><Relationship Id="rId358" Type="http://schemas.openxmlformats.org/officeDocument/2006/relationships/hyperlink" Target="https://drive.google.com/file/d/1d38Qp3WUzk7_KPNfqPGZ5oCCsBd3R0c6/view?usp=drivesdk" TargetMode="External"/><Relationship Id="rId115" Type="http://schemas.openxmlformats.org/officeDocument/2006/relationships/hyperlink" Target="https://drive.google.com/file/d/1Z6CNsm7-r3kj9g1lZ7knpuK_zzyrIEcg/view?usp=drivesdk" TargetMode="External"/><Relationship Id="rId236" Type="http://schemas.openxmlformats.org/officeDocument/2006/relationships/hyperlink" Target="https://drive.google.com/file/d/11D42HD5IQPlmqM-E6ix0wn9xpSOlAzU2/view?usp=drivesdk" TargetMode="External"/><Relationship Id="rId357" Type="http://schemas.openxmlformats.org/officeDocument/2006/relationships/hyperlink" Target="https://drive.google.com/file/d/1Up2ogffrOB6W07Wmi2N2EvBs8Zv4QBM_/view?usp=drivesdk" TargetMode="External"/><Relationship Id="rId119" Type="http://schemas.openxmlformats.org/officeDocument/2006/relationships/hyperlink" Target="https://drive.google.com/file/d/1-l5EFPuCW6hON6hDhVd3ZwaIzrC_dQLp/view?usp=drivesdk" TargetMode="External"/><Relationship Id="rId110" Type="http://schemas.openxmlformats.org/officeDocument/2006/relationships/hyperlink" Target="https://drive.google.com/file/d/1ZUh9OrGfV9HwwY-2tBsmGaDj_JKOHBps/view?usp=drivesdk" TargetMode="External"/><Relationship Id="rId231" Type="http://schemas.openxmlformats.org/officeDocument/2006/relationships/hyperlink" Target="https://drive.google.com/file/d/1FAayIur6DlDEGmeRmgxZX756PdmKePAA/view?usp=drivesdk" TargetMode="External"/><Relationship Id="rId352" Type="http://schemas.openxmlformats.org/officeDocument/2006/relationships/hyperlink" Target="https://drive.google.com/file/d/1eEVqmfkW3iSo0LGHzQPfGYnJywrx5Miv/view?usp=drivesdk" TargetMode="External"/><Relationship Id="rId230" Type="http://schemas.openxmlformats.org/officeDocument/2006/relationships/hyperlink" Target="https://drive.google.com/file/d/18yrUOn55BSF4LqDhkvO4RZc9bNOiCHNk/view?usp=drivesdk" TargetMode="External"/><Relationship Id="rId351" Type="http://schemas.openxmlformats.org/officeDocument/2006/relationships/hyperlink" Target="https://drive.google.com/file/d/1ohHOZEZ4Y2GPyGNl2J-_JwVgrnm0PcUs/view?usp=drivesdk" TargetMode="External"/><Relationship Id="rId350" Type="http://schemas.openxmlformats.org/officeDocument/2006/relationships/hyperlink" Target="https://drive.google.com/file/d/1rnl7TwFtjsNe82fvs2wYqda2WPdIC2RI/view?usp=drivesdk" TargetMode="External"/><Relationship Id="rId114" Type="http://schemas.openxmlformats.org/officeDocument/2006/relationships/hyperlink" Target="https://drive.google.com/file/d/1dgQl-gwzSEs7nc0IyWTp2uAhvmfROM28/view?usp=drivesdk" TargetMode="External"/><Relationship Id="rId235" Type="http://schemas.openxmlformats.org/officeDocument/2006/relationships/hyperlink" Target="https://drive.google.com/file/d/1v2Pmg1LXRcsFYLw2EN2cZxSDhHgMhI8_/view?usp=drivesdk" TargetMode="External"/><Relationship Id="rId356" Type="http://schemas.openxmlformats.org/officeDocument/2006/relationships/hyperlink" Target="https://drive.google.com/file/d/1LwGaIIjuGQXoGOmzyAInrVoDs125rO-k/view?usp=drivesdk" TargetMode="External"/><Relationship Id="rId113" Type="http://schemas.openxmlformats.org/officeDocument/2006/relationships/hyperlink" Target="https://drive.google.com/file/d/1zydLo5sSTtR3QffCinzG3VAKjQwbyMmb/view?usp=drivesdk" TargetMode="External"/><Relationship Id="rId234" Type="http://schemas.openxmlformats.org/officeDocument/2006/relationships/hyperlink" Target="https://drive.google.com/file/d/1AGIEtSjyfpTsVOYxQDr8LCGdFWM_-6ui/view?usp=drivesdk" TargetMode="External"/><Relationship Id="rId355" Type="http://schemas.openxmlformats.org/officeDocument/2006/relationships/hyperlink" Target="https://drive.google.com/file/d/1y0b7w7id1cFUN-ASH1vQBFNhmwo9jvUE/view?usp=drivesdk" TargetMode="External"/><Relationship Id="rId112" Type="http://schemas.openxmlformats.org/officeDocument/2006/relationships/hyperlink" Target="https://drive.google.com/file/d/1jd4xdlt0sYsH7kO361bh-HijWGpDhSff/view?usp=drivesdk" TargetMode="External"/><Relationship Id="rId233" Type="http://schemas.openxmlformats.org/officeDocument/2006/relationships/hyperlink" Target="https://drive.google.com/file/d/1u2gHt1Hq9U5A-WUBbcruzWJlkgN1RH9x/view?usp=drivesdk" TargetMode="External"/><Relationship Id="rId354" Type="http://schemas.openxmlformats.org/officeDocument/2006/relationships/hyperlink" Target="https://drive.google.com/file/d/11NRWcXfWHtfGNie7ijVlOhKhG3rC_xtY/view?usp=drivesdk" TargetMode="External"/><Relationship Id="rId111" Type="http://schemas.openxmlformats.org/officeDocument/2006/relationships/hyperlink" Target="https://drive.google.com/file/d/16qjmZnWQYJS7BZOqbq8CXV6Xn1lbehwG/view?usp=drivesdk" TargetMode="External"/><Relationship Id="rId232" Type="http://schemas.openxmlformats.org/officeDocument/2006/relationships/hyperlink" Target="https://drive.google.com/file/d/1l2ZAF3v-9a39DmzMB5CmtawhYh6dKNoF/view?usp=drivesdk" TargetMode="External"/><Relationship Id="rId353" Type="http://schemas.openxmlformats.org/officeDocument/2006/relationships/hyperlink" Target="https://drive.google.com/file/d/1wZPyNAXVIdnIULXCc5ijClVOkmznI_H1/view?usp=drivesdk" TargetMode="External"/><Relationship Id="rId305" Type="http://schemas.openxmlformats.org/officeDocument/2006/relationships/hyperlink" Target="https://drive.google.com/file/d/1wyYLXxF5qaukR_w4sHJt8ZQmKfefiyKI/view?usp=drivesdk" TargetMode="External"/><Relationship Id="rId304" Type="http://schemas.openxmlformats.org/officeDocument/2006/relationships/hyperlink" Target="https://drive.google.com/file/d/1qbmUk7MurHqkq6HcY50fFtKxqiFezBVa/view?usp=drivesdk" TargetMode="External"/><Relationship Id="rId303" Type="http://schemas.openxmlformats.org/officeDocument/2006/relationships/hyperlink" Target="https://drive.google.com/file/d/1S1yzMc9I3FdPFbz9v44NTOP-NpYKkmmM/view?usp=drivesdk" TargetMode="External"/><Relationship Id="rId302" Type="http://schemas.openxmlformats.org/officeDocument/2006/relationships/hyperlink" Target="https://drive.google.com/file/d/1LbnTYta8dmtaVXIRXcR8F1EvdUXME9Pb/view?usp=drivesdk" TargetMode="External"/><Relationship Id="rId309" Type="http://schemas.openxmlformats.org/officeDocument/2006/relationships/hyperlink" Target="https://drive.google.com/file/d/1WB1BisxUXAEKvS_i0ROzBGxL1y7gO-xj/view?usp=drivesdk" TargetMode="External"/><Relationship Id="rId308" Type="http://schemas.openxmlformats.org/officeDocument/2006/relationships/hyperlink" Target="https://drive.google.com/file/d/1PIhm7F_GHnk8L8NIg77KDF2BC7DxZ2np/view?usp=drivesdk" TargetMode="External"/><Relationship Id="rId307" Type="http://schemas.openxmlformats.org/officeDocument/2006/relationships/hyperlink" Target="https://drive.google.com/file/d/1SOgyBVw9eKDNLnomHOIjN24p0EWty00f/view?usp=drivesdk" TargetMode="External"/><Relationship Id="rId306" Type="http://schemas.openxmlformats.org/officeDocument/2006/relationships/hyperlink" Target="https://drive.google.com/file/d/1G_oRbVm7DvQ-IGW5QWPksAmbbtrQNeyE/view?usp=drivesdk" TargetMode="External"/><Relationship Id="rId301" Type="http://schemas.openxmlformats.org/officeDocument/2006/relationships/hyperlink" Target="https://drive.google.com/file/d/1eXyBwS-xaoq5DUkIWhpyBEDxJaSs664-/view?usp=drivesdk" TargetMode="External"/><Relationship Id="rId300" Type="http://schemas.openxmlformats.org/officeDocument/2006/relationships/hyperlink" Target="https://drive.google.com/file/d/1RH0zndYjo3_9am0saM_3-9tNF3k0w_rx/view?usp=drivesdk" TargetMode="External"/><Relationship Id="rId206" Type="http://schemas.openxmlformats.org/officeDocument/2006/relationships/hyperlink" Target="https://drive.google.com/file/d/1PlvzUkhLcZL2Y6Gwmfca9ugiPpGzemDB/view?usp=drivesdk" TargetMode="External"/><Relationship Id="rId327" Type="http://schemas.openxmlformats.org/officeDocument/2006/relationships/hyperlink" Target="https://drive.google.com/file/d/11VcHfIKN8vfwVgi5BvYHm8tHQcepukV7/view?usp=drivesdk" TargetMode="External"/><Relationship Id="rId205" Type="http://schemas.openxmlformats.org/officeDocument/2006/relationships/hyperlink" Target="https://drive.google.com/file/d/13F2Z9pkvB9PFN1mzlhfev_SAe25GRU1c/view?usp=drivesdk" TargetMode="External"/><Relationship Id="rId326" Type="http://schemas.openxmlformats.org/officeDocument/2006/relationships/hyperlink" Target="https://drive.google.com/file/d/1MeYhTqteH-OCF96QOzvlJ_AODfOrjF6_/view?usp=drivesdk" TargetMode="External"/><Relationship Id="rId204" Type="http://schemas.openxmlformats.org/officeDocument/2006/relationships/hyperlink" Target="https://drive.google.com/file/d/1FvNL7Upaj3dbi2Jp7Yt-CjuV_kovzbXb/view?usp=drivesdk" TargetMode="External"/><Relationship Id="rId325" Type="http://schemas.openxmlformats.org/officeDocument/2006/relationships/hyperlink" Target="https://drive.google.com/file/d/1zvrwWhNC1iyDOVjZYMbHX44xmykxdLLD/view?usp=drivesdk" TargetMode="External"/><Relationship Id="rId203" Type="http://schemas.openxmlformats.org/officeDocument/2006/relationships/hyperlink" Target="https://drive.google.com/file/d/19SKUVEPJMcTWkd-pgCZV-O-vI78ARUxS/view?usp=drivesdk" TargetMode="External"/><Relationship Id="rId324" Type="http://schemas.openxmlformats.org/officeDocument/2006/relationships/hyperlink" Target="https://drive.google.com/file/d/1MNtgDELADd5583Yh6-KBhnDz_vcANxRR/view?usp=drivesdk" TargetMode="External"/><Relationship Id="rId209" Type="http://schemas.openxmlformats.org/officeDocument/2006/relationships/hyperlink" Target="https://drive.google.com/file/d/1e-LBGKzAc749JhfRaUB5Z6G6cwGCDcNi/view?usp=drivesdk" TargetMode="External"/><Relationship Id="rId208" Type="http://schemas.openxmlformats.org/officeDocument/2006/relationships/hyperlink" Target="https://drive.google.com/file/d/1_SyrsosyTNd38J4xPZae0PUh2eV71Iaq/view?usp=drivesdk" TargetMode="External"/><Relationship Id="rId329" Type="http://schemas.openxmlformats.org/officeDocument/2006/relationships/hyperlink" Target="https://drive.google.com/file/d/1QRZaSB7VEH_HUK3SsLUeG0pNV3xRSsoq/view?usp=drivesdk" TargetMode="External"/><Relationship Id="rId207" Type="http://schemas.openxmlformats.org/officeDocument/2006/relationships/hyperlink" Target="https://drive.google.com/file/d/1YGhlCLkXDHgTm2uE_SN35nXd7NpKgftb/view?usp=drivesdk" TargetMode="External"/><Relationship Id="rId328" Type="http://schemas.openxmlformats.org/officeDocument/2006/relationships/hyperlink" Target="https://drive.google.com/file/d/1H2CfJuqNP_BDS0i526Lunab2pzJsvaw9/view?usp=drivesdk" TargetMode="External"/><Relationship Id="rId202" Type="http://schemas.openxmlformats.org/officeDocument/2006/relationships/hyperlink" Target="https://drive.google.com/file/d/14GhYVKyFJMcbUa7cWHWwngOYfOTn2StG/view?usp=drivesdk" TargetMode="External"/><Relationship Id="rId323" Type="http://schemas.openxmlformats.org/officeDocument/2006/relationships/hyperlink" Target="https://drive.google.com/file/d/1Cho5DM-eE1T41Hpzl4DvaWhDTCOXAj6o/view?usp=drivesdk" TargetMode="External"/><Relationship Id="rId201" Type="http://schemas.openxmlformats.org/officeDocument/2006/relationships/hyperlink" Target="https://drive.google.com/file/d/1q-lTsgTQf4qhVEKBbXYXIRjIhL0HwiIl/view?usp=drivesdk" TargetMode="External"/><Relationship Id="rId322" Type="http://schemas.openxmlformats.org/officeDocument/2006/relationships/hyperlink" Target="https://drive.google.com/file/d/1GUw6i7WMWxhcdvTilzhU6k0xqPRGLUg2/view?usp=drivesdk" TargetMode="External"/><Relationship Id="rId200" Type="http://schemas.openxmlformats.org/officeDocument/2006/relationships/hyperlink" Target="https://drive.google.com/file/d/18E-3Vnw6A-k1eiHpIsKNn9lLVN-I4sHJ/view?usp=drivesdk" TargetMode="External"/><Relationship Id="rId321" Type="http://schemas.openxmlformats.org/officeDocument/2006/relationships/hyperlink" Target="https://drive.google.com/file/d/1rLsda9rO-nroq5PXyZ1JjmuoZjgSy2kz/view?usp=drivesdk" TargetMode="External"/><Relationship Id="rId320" Type="http://schemas.openxmlformats.org/officeDocument/2006/relationships/hyperlink" Target="https://drive.google.com/file/d/1ZmIxUIx5Rg0qbS1UFfosDq_pDehaDvWy/view?usp=drivesdk" TargetMode="External"/><Relationship Id="rId316" Type="http://schemas.openxmlformats.org/officeDocument/2006/relationships/hyperlink" Target="https://drive.google.com/file/d/1Eal4CO210n1z516q_WMWNf_rZeqSuHmX/view?usp=drivesdk" TargetMode="External"/><Relationship Id="rId315" Type="http://schemas.openxmlformats.org/officeDocument/2006/relationships/hyperlink" Target="https://drive.google.com/file/d/1LlD1GANv_91qiKdh6t7Pj24eEtm-5HmD/view?usp=drivesdk" TargetMode="External"/><Relationship Id="rId314" Type="http://schemas.openxmlformats.org/officeDocument/2006/relationships/hyperlink" Target="https://drive.google.com/file/d/1bjUnbyA0aS_cb_IAKetS572GTNbv2cBI/view?usp=drivesdk" TargetMode="External"/><Relationship Id="rId313" Type="http://schemas.openxmlformats.org/officeDocument/2006/relationships/hyperlink" Target="https://drive.google.com/file/d/1Dvloqlr7FAET4Ufb-mArc8U-cCWEYnwI/view?usp=drivesdk" TargetMode="External"/><Relationship Id="rId319" Type="http://schemas.openxmlformats.org/officeDocument/2006/relationships/hyperlink" Target="https://drive.google.com/file/d/1V8UtyKhgvSuEOjdw-7R1vSGsg0dSwsAX/view?usp=drivesdk" TargetMode="External"/><Relationship Id="rId318" Type="http://schemas.openxmlformats.org/officeDocument/2006/relationships/hyperlink" Target="https://drive.google.com/file/d/13CQZBiJQrbGd9HfL5ZF0w5tGz7N2QdWP/view?usp=drivesdk" TargetMode="External"/><Relationship Id="rId317" Type="http://schemas.openxmlformats.org/officeDocument/2006/relationships/hyperlink" Target="https://drive.google.com/file/d/1npS--0s-0vSWLA4JwZ_cOSLUntMcB_fO/view?usp=drivesdk" TargetMode="External"/><Relationship Id="rId312" Type="http://schemas.openxmlformats.org/officeDocument/2006/relationships/hyperlink" Target="https://drive.google.com/file/d/1bNj6Ba3zJCtbgghQ2eFkasg-AGLOHmuL/view?usp=drivesdk" TargetMode="External"/><Relationship Id="rId311" Type="http://schemas.openxmlformats.org/officeDocument/2006/relationships/hyperlink" Target="https://drive.google.com/file/d/1L-2dmB1uYuRe8XGkei_jy9Ctg1d6eyL7/view?usp=drivesdk" TargetMode="External"/><Relationship Id="rId310" Type="http://schemas.openxmlformats.org/officeDocument/2006/relationships/hyperlink" Target="https://drive.google.com/file/d/17oV4iVTEHzpp2IlL8RlpjuzElQCAyx-e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32.38"/>
    <col customWidth="1" min="3" max="3" width="40.5"/>
    <col customWidth="1" min="4" max="4" width="13.5"/>
    <col customWidth="1" min="5" max="5" width="19.13"/>
    <col customWidth="1" min="6" max="6" width="21.75"/>
    <col customWidth="1" min="7" max="7" width="17.0"/>
    <col customWidth="1" min="8" max="8" width="61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</row>
    <row r="2" ht="22.5" customHeight="1">
      <c r="A2" s="4" t="s">
        <v>8</v>
      </c>
      <c r="B2" s="5" t="s">
        <v>9</v>
      </c>
      <c r="C2" s="6" t="s">
        <v>10</v>
      </c>
      <c r="D2" s="7" t="s">
        <v>11</v>
      </c>
      <c r="E2" s="8">
        <v>45748.0</v>
      </c>
      <c r="F2" s="9" t="s">
        <v>12</v>
      </c>
      <c r="G2" s="10" t="s">
        <v>13</v>
      </c>
      <c r="H2" s="11" t="str">
        <f>HYPERLINK("https://drive.google.com/file/d/1FhwIRwCfzZvexnqbuxiM510AzpbxWav2/view?usp=drivesdk","Certificado_Fase_Pré_Analítica_1")</f>
        <v>Certificado_Fase_Pré_Analítica_1</v>
      </c>
    </row>
    <row r="3" ht="22.5" customHeight="1">
      <c r="A3" s="12" t="s">
        <v>14</v>
      </c>
      <c r="B3" s="13" t="s">
        <v>15</v>
      </c>
      <c r="C3" s="14" t="s">
        <v>10</v>
      </c>
      <c r="D3" s="7" t="s">
        <v>11</v>
      </c>
      <c r="E3" s="8">
        <v>45748.0</v>
      </c>
      <c r="F3" s="15" t="s">
        <v>16</v>
      </c>
      <c r="G3" s="16" t="s">
        <v>17</v>
      </c>
      <c r="H3" s="17" t="str">
        <f>HYPERLINK("https://drive.google.com/file/d/1uprS5XdXjtjs606R9WzEQ-WQ9RrgS7G7/view?usp=drivesdk","Certificado_Fase_Pré_Analítica_2")</f>
        <v>Certificado_Fase_Pré_Analítica_2</v>
      </c>
    </row>
    <row r="4" ht="22.5" customHeight="1">
      <c r="A4" s="4" t="s">
        <v>18</v>
      </c>
      <c r="B4" s="5" t="s">
        <v>19</v>
      </c>
      <c r="C4" s="6" t="s">
        <v>10</v>
      </c>
      <c r="D4" s="7" t="s">
        <v>11</v>
      </c>
      <c r="E4" s="8">
        <v>45748.0</v>
      </c>
      <c r="F4" s="9" t="s">
        <v>20</v>
      </c>
      <c r="G4" s="10" t="s">
        <v>21</v>
      </c>
      <c r="H4" s="11" t="str">
        <f>HYPERLINK("https://drive.google.com/file/d/1HyBrfLWx2frxpwB9Vce4zFBODTXZA7RM/view?usp=drivesdk","Certificado_Fase_Pré_Analítica_3")</f>
        <v>Certificado_Fase_Pré_Analítica_3</v>
      </c>
    </row>
    <row r="5" ht="22.5" customHeight="1">
      <c r="A5" s="12" t="s">
        <v>22</v>
      </c>
      <c r="B5" s="13" t="s">
        <v>23</v>
      </c>
      <c r="C5" s="14" t="s">
        <v>10</v>
      </c>
      <c r="D5" s="7" t="s">
        <v>11</v>
      </c>
      <c r="E5" s="8">
        <v>45748.0</v>
      </c>
      <c r="F5" s="15" t="s">
        <v>24</v>
      </c>
      <c r="G5" s="16" t="s">
        <v>25</v>
      </c>
      <c r="H5" s="17" t="str">
        <f>HYPERLINK("https://drive.google.com/file/d/1ZF5679Of3jK91-RbjduMg6Y8GcBodmDE/view?usp=drivesdk","Certificado_Fase_Pré_Analítica_4")</f>
        <v>Certificado_Fase_Pré_Analítica_4</v>
      </c>
    </row>
    <row r="6" ht="22.5" customHeight="1">
      <c r="A6" s="4" t="s">
        <v>26</v>
      </c>
      <c r="B6" s="5" t="s">
        <v>27</v>
      </c>
      <c r="C6" s="6" t="s">
        <v>10</v>
      </c>
      <c r="D6" s="7" t="s">
        <v>11</v>
      </c>
      <c r="E6" s="8">
        <v>45748.0</v>
      </c>
      <c r="F6" s="9" t="s">
        <v>28</v>
      </c>
      <c r="G6" s="10" t="s">
        <v>29</v>
      </c>
      <c r="H6" s="11" t="str">
        <f>HYPERLINK("https://drive.google.com/file/d/1AgNsC1nBGE8S0ug_9hA8hTqS7L-UVy_y/view?usp=drivesdk","Certificado_Fase_Pré_Analítica_5")</f>
        <v>Certificado_Fase_Pré_Analítica_5</v>
      </c>
    </row>
    <row r="7" ht="22.5" customHeight="1">
      <c r="A7" s="12" t="s">
        <v>30</v>
      </c>
      <c r="B7" s="13" t="s">
        <v>31</v>
      </c>
      <c r="C7" s="14" t="s">
        <v>10</v>
      </c>
      <c r="D7" s="7" t="s">
        <v>11</v>
      </c>
      <c r="E7" s="8">
        <v>45748.0</v>
      </c>
      <c r="F7" s="15" t="s">
        <v>32</v>
      </c>
      <c r="G7" s="16" t="s">
        <v>33</v>
      </c>
      <c r="H7" s="17" t="str">
        <f>HYPERLINK("https://drive.google.com/file/d/1-w8rbWWceisk2UreICAOLp8I7m48sIRp/view?usp=drivesdk","Certificado_Fase_Pré_Analítica_6")</f>
        <v>Certificado_Fase_Pré_Analítica_6</v>
      </c>
    </row>
    <row r="8" ht="22.5" customHeight="1">
      <c r="A8" s="4" t="s">
        <v>34</v>
      </c>
      <c r="B8" s="5" t="s">
        <v>35</v>
      </c>
      <c r="C8" s="6" t="s">
        <v>10</v>
      </c>
      <c r="D8" s="7" t="s">
        <v>11</v>
      </c>
      <c r="E8" s="8">
        <v>45748.0</v>
      </c>
      <c r="F8" s="9" t="s">
        <v>36</v>
      </c>
      <c r="G8" s="10" t="s">
        <v>37</v>
      </c>
      <c r="H8" s="11" t="str">
        <f>HYPERLINK("https://drive.google.com/file/d/18vt4Fzuh0IldHIzXJQoZosQo_QuJe2PB/view?usp=drivesdk","Certificado_Fase_Pré_Analítica_7")</f>
        <v>Certificado_Fase_Pré_Analítica_7</v>
      </c>
    </row>
    <row r="9" ht="22.5" customHeight="1">
      <c r="A9" s="12" t="s">
        <v>38</v>
      </c>
      <c r="B9" s="13" t="s">
        <v>39</v>
      </c>
      <c r="C9" s="14" t="s">
        <v>10</v>
      </c>
      <c r="D9" s="7" t="s">
        <v>11</v>
      </c>
      <c r="E9" s="8">
        <v>45748.0</v>
      </c>
      <c r="F9" s="15" t="s">
        <v>40</v>
      </c>
      <c r="G9" s="16" t="s">
        <v>41</v>
      </c>
      <c r="H9" s="17" t="str">
        <f>HYPERLINK("https://drive.google.com/file/d/11sCtKHXF1uofNkYuDG_GHDm5D-ClviyN/view?usp=drivesdk","Certificado_Fase_Pré_Analítica_8")</f>
        <v>Certificado_Fase_Pré_Analítica_8</v>
      </c>
    </row>
    <row r="10" ht="22.5" customHeight="1">
      <c r="A10" s="4" t="s">
        <v>42</v>
      </c>
      <c r="B10" s="5" t="s">
        <v>43</v>
      </c>
      <c r="C10" s="6" t="s">
        <v>10</v>
      </c>
      <c r="D10" s="7" t="s">
        <v>11</v>
      </c>
      <c r="E10" s="8">
        <v>45748.0</v>
      </c>
      <c r="F10" s="9" t="s">
        <v>44</v>
      </c>
      <c r="G10" s="10" t="s">
        <v>45</v>
      </c>
      <c r="H10" s="11" t="str">
        <f>HYPERLINK("https://drive.google.com/file/d/1XoKIhKrmGcTLW-UrCurxZTgCwdWiM0sz/view?usp=drivesdk","Certificado_Fase_Pré_Analítica_9")</f>
        <v>Certificado_Fase_Pré_Analítica_9</v>
      </c>
    </row>
    <row r="11" ht="22.5" customHeight="1">
      <c r="A11" s="12" t="s">
        <v>46</v>
      </c>
      <c r="B11" s="13" t="s">
        <v>47</v>
      </c>
      <c r="C11" s="14" t="s">
        <v>10</v>
      </c>
      <c r="D11" s="7" t="s">
        <v>11</v>
      </c>
      <c r="E11" s="8">
        <v>45748.0</v>
      </c>
      <c r="F11" s="15" t="s">
        <v>48</v>
      </c>
      <c r="G11" s="16" t="s">
        <v>49</v>
      </c>
      <c r="H11" s="17" t="str">
        <f>HYPERLINK("https://drive.google.com/file/d/1J6wQSIhCp7TD44e-T20zr8C-PLzV2Hla/view?usp=drivesdk","Certificado_Fase_Pré_Analítica_10")</f>
        <v>Certificado_Fase_Pré_Analítica_10</v>
      </c>
    </row>
    <row r="12" ht="22.5" customHeight="1">
      <c r="A12" s="4" t="s">
        <v>50</v>
      </c>
      <c r="B12" s="5" t="s">
        <v>51</v>
      </c>
      <c r="C12" s="6" t="s">
        <v>10</v>
      </c>
      <c r="D12" s="7" t="s">
        <v>11</v>
      </c>
      <c r="E12" s="8">
        <v>45748.0</v>
      </c>
      <c r="F12" s="9" t="s">
        <v>52</v>
      </c>
      <c r="G12" s="10" t="s">
        <v>53</v>
      </c>
      <c r="H12" s="11" t="str">
        <f>HYPERLINK("https://drive.google.com/file/d/1e3TkqR5Acj6Dpe9NXp81yniv_W45YMpX/view?usp=drivesdk","Certificado_Fase_Pré_Analítica_11")</f>
        <v>Certificado_Fase_Pré_Analítica_11</v>
      </c>
    </row>
    <row r="13" ht="22.5" customHeight="1">
      <c r="A13" s="12" t="s">
        <v>54</v>
      </c>
      <c r="B13" s="13" t="s">
        <v>55</v>
      </c>
      <c r="C13" s="14" t="s">
        <v>10</v>
      </c>
      <c r="D13" s="7" t="s">
        <v>11</v>
      </c>
      <c r="E13" s="8">
        <v>45748.0</v>
      </c>
      <c r="F13" s="15" t="s">
        <v>56</v>
      </c>
      <c r="G13" s="16" t="s">
        <v>57</v>
      </c>
      <c r="H13" s="17" t="str">
        <f>HYPERLINK("https://drive.google.com/file/d/1wgLLyEgCesgnXrr5sBek_xST_AbZ34r_/view?usp=drivesdk","Certificado_Fase_Pré_Analítica_12")</f>
        <v>Certificado_Fase_Pré_Analítica_12</v>
      </c>
    </row>
    <row r="14" ht="22.5" customHeight="1">
      <c r="A14" s="4" t="s">
        <v>58</v>
      </c>
      <c r="B14" s="5" t="s">
        <v>59</v>
      </c>
      <c r="C14" s="6" t="s">
        <v>10</v>
      </c>
      <c r="D14" s="7" t="s">
        <v>11</v>
      </c>
      <c r="E14" s="8">
        <v>45748.0</v>
      </c>
      <c r="F14" s="9" t="s">
        <v>60</v>
      </c>
      <c r="G14" s="10" t="s">
        <v>61</v>
      </c>
      <c r="H14" s="11" t="str">
        <f>HYPERLINK("https://drive.google.com/file/d/1cwq7k45WPa3EGDDGwj4K_1ZtKC6nSlv2/view?usp=drivesdk","Certificado_Fase_Pré_Analítica_13")</f>
        <v>Certificado_Fase_Pré_Analítica_13</v>
      </c>
    </row>
    <row r="15" ht="22.5" customHeight="1">
      <c r="A15" s="12" t="s">
        <v>62</v>
      </c>
      <c r="B15" s="13" t="s">
        <v>63</v>
      </c>
      <c r="C15" s="14" t="s">
        <v>10</v>
      </c>
      <c r="D15" s="7" t="s">
        <v>11</v>
      </c>
      <c r="E15" s="8">
        <v>45748.0</v>
      </c>
      <c r="F15" s="15" t="s">
        <v>64</v>
      </c>
      <c r="G15" s="16" t="s">
        <v>65</v>
      </c>
      <c r="H15" s="17" t="str">
        <f>HYPERLINK("https://drive.google.com/file/d/1oYhpShkmaPDwrMSZbDhUISkE_RGGwXa3/view?usp=drivesdk","Certificado_Fase_Pré_Analítica_14")</f>
        <v>Certificado_Fase_Pré_Analítica_14</v>
      </c>
    </row>
    <row r="16" ht="22.5" customHeight="1">
      <c r="A16" s="4" t="s">
        <v>66</v>
      </c>
      <c r="B16" s="5" t="s">
        <v>67</v>
      </c>
      <c r="C16" s="6" t="s">
        <v>10</v>
      </c>
      <c r="D16" s="7" t="s">
        <v>11</v>
      </c>
      <c r="E16" s="8">
        <v>45748.0</v>
      </c>
      <c r="F16" s="9" t="s">
        <v>68</v>
      </c>
      <c r="G16" s="10" t="s">
        <v>69</v>
      </c>
      <c r="H16" s="11" t="str">
        <f>HYPERLINK("https://drive.google.com/file/d/1IHlkXKRXkHnVFWNQf46KIT8rzGXbT16e/view?usp=drivesdk","Certificado_Fase_Pré_Analítica_15")</f>
        <v>Certificado_Fase_Pré_Analítica_15</v>
      </c>
    </row>
    <row r="17" ht="22.5" customHeight="1">
      <c r="A17" s="12" t="s">
        <v>70</v>
      </c>
      <c r="B17" s="13" t="s">
        <v>71</v>
      </c>
      <c r="C17" s="14" t="s">
        <v>10</v>
      </c>
      <c r="D17" s="7" t="s">
        <v>11</v>
      </c>
      <c r="E17" s="8">
        <v>45748.0</v>
      </c>
      <c r="F17" s="15" t="s">
        <v>72</v>
      </c>
      <c r="G17" s="16" t="s">
        <v>73</v>
      </c>
      <c r="H17" s="17" t="str">
        <f>HYPERLINK("https://drive.google.com/file/d/1cgI8rMJtYGg2xHDOMRl5J9I10zE8oNun/view?usp=drivesdk","Certificado_Fase_Pré_Analítica_16")</f>
        <v>Certificado_Fase_Pré_Analítica_16</v>
      </c>
    </row>
    <row r="18" ht="22.5" customHeight="1">
      <c r="A18" s="4" t="s">
        <v>74</v>
      </c>
      <c r="B18" s="5" t="s">
        <v>75</v>
      </c>
      <c r="C18" s="6" t="s">
        <v>10</v>
      </c>
      <c r="D18" s="7" t="s">
        <v>11</v>
      </c>
      <c r="E18" s="8">
        <v>45748.0</v>
      </c>
      <c r="F18" s="9" t="s">
        <v>76</v>
      </c>
      <c r="G18" s="10" t="s">
        <v>77</v>
      </c>
      <c r="H18" s="11" t="str">
        <f>HYPERLINK("https://drive.google.com/file/d/1PL1V_7zSli-K8ss3COjhAabwQ5NnOUYv/view?usp=drivesdk","Certificado_Fase_Pré_Analítica_17")</f>
        <v>Certificado_Fase_Pré_Analítica_17</v>
      </c>
    </row>
    <row r="19" ht="22.5" customHeight="1">
      <c r="A19" s="12" t="s">
        <v>78</v>
      </c>
      <c r="B19" s="13" t="s">
        <v>79</v>
      </c>
      <c r="C19" s="14" t="s">
        <v>10</v>
      </c>
      <c r="D19" s="7" t="s">
        <v>11</v>
      </c>
      <c r="E19" s="8">
        <v>45748.0</v>
      </c>
      <c r="F19" s="15" t="s">
        <v>80</v>
      </c>
      <c r="G19" s="16" t="s">
        <v>81</v>
      </c>
      <c r="H19" s="17" t="str">
        <f>HYPERLINK("https://drive.google.com/file/d/1WnJPbUmYv8zRUjrex1CMTyAsu3nW8nlx/view?usp=drivesdk","Certificado_Fase_Pré_Analítica_18")</f>
        <v>Certificado_Fase_Pré_Analítica_18</v>
      </c>
    </row>
    <row r="20" ht="22.5" customHeight="1">
      <c r="A20" s="4" t="s">
        <v>82</v>
      </c>
      <c r="B20" s="5" t="s">
        <v>83</v>
      </c>
      <c r="C20" s="6" t="s">
        <v>10</v>
      </c>
      <c r="D20" s="7" t="s">
        <v>11</v>
      </c>
      <c r="E20" s="8">
        <v>45748.0</v>
      </c>
      <c r="F20" s="9" t="s">
        <v>84</v>
      </c>
      <c r="G20" s="10" t="s">
        <v>85</v>
      </c>
      <c r="H20" s="11" t="str">
        <f>HYPERLINK("https://drive.google.com/file/d/12ccRBjU8odo1YL7SU3E_S-GS46ZSn1hT/view?usp=drivesdk","Certificado_Fase_Pré_Analítica_19")</f>
        <v>Certificado_Fase_Pré_Analítica_19</v>
      </c>
    </row>
    <row r="21" ht="22.5" customHeight="1">
      <c r="A21" s="12" t="s">
        <v>86</v>
      </c>
      <c r="B21" s="13" t="s">
        <v>87</v>
      </c>
      <c r="C21" s="14" t="s">
        <v>10</v>
      </c>
      <c r="D21" s="7" t="s">
        <v>11</v>
      </c>
      <c r="E21" s="8">
        <v>45748.0</v>
      </c>
      <c r="F21" s="15" t="s">
        <v>88</v>
      </c>
      <c r="G21" s="16" t="s">
        <v>89</v>
      </c>
      <c r="H21" s="17" t="str">
        <f>HYPERLINK("https://drive.google.com/file/d/1iUJqCEN1cowxmLSTGH1mrCi5UZKG5ku7/view?usp=drivesdk","Certificado_Fase_Pré_Analítica_20")</f>
        <v>Certificado_Fase_Pré_Analítica_20</v>
      </c>
    </row>
    <row r="22" ht="22.5" customHeight="1">
      <c r="A22" s="4" t="s">
        <v>90</v>
      </c>
      <c r="B22" s="5" t="s">
        <v>91</v>
      </c>
      <c r="C22" s="6" t="s">
        <v>10</v>
      </c>
      <c r="D22" s="7" t="s">
        <v>11</v>
      </c>
      <c r="E22" s="8">
        <v>45748.0</v>
      </c>
      <c r="F22" s="9" t="s">
        <v>92</v>
      </c>
      <c r="G22" s="10" t="s">
        <v>93</v>
      </c>
      <c r="H22" s="11" t="str">
        <f>HYPERLINK("https://drive.google.com/file/d/1QBqdXFJwPEtEtIAB_A3fNq1if4Y6xotG/view?usp=drivesdk","Certificado_Fase_Pré_Analítica_21")</f>
        <v>Certificado_Fase_Pré_Analítica_21</v>
      </c>
    </row>
    <row r="23" ht="22.5" customHeight="1">
      <c r="A23" s="12" t="s">
        <v>94</v>
      </c>
      <c r="B23" s="13" t="s">
        <v>95</v>
      </c>
      <c r="C23" s="14" t="s">
        <v>10</v>
      </c>
      <c r="D23" s="7" t="s">
        <v>11</v>
      </c>
      <c r="E23" s="8">
        <v>45748.0</v>
      </c>
      <c r="F23" s="15" t="s">
        <v>96</v>
      </c>
      <c r="G23" s="16" t="s">
        <v>97</v>
      </c>
      <c r="H23" s="17" t="str">
        <f>HYPERLINK("https://drive.google.com/file/d/1tQ00Q5ZA0fNDordlFo3CYb-qOrnp7A_Z/view?usp=drivesdk","Certificado_Fase_Pré_Analítica_22")</f>
        <v>Certificado_Fase_Pré_Analítica_22</v>
      </c>
    </row>
    <row r="24" ht="22.5" customHeight="1">
      <c r="A24" s="4" t="s">
        <v>98</v>
      </c>
      <c r="B24" s="5" t="s">
        <v>99</v>
      </c>
      <c r="C24" s="6" t="s">
        <v>10</v>
      </c>
      <c r="D24" s="7" t="s">
        <v>11</v>
      </c>
      <c r="E24" s="8">
        <v>45748.0</v>
      </c>
      <c r="F24" s="9" t="s">
        <v>100</v>
      </c>
      <c r="G24" s="10" t="s">
        <v>101</v>
      </c>
      <c r="H24" s="11" t="str">
        <f>HYPERLINK("https://drive.google.com/file/d/1RzvlUjNyTt06snARIK4RDPTxcZRK1pGH/view?usp=drivesdk","Certificado_Fase_Pré_Analítica_23")</f>
        <v>Certificado_Fase_Pré_Analítica_23</v>
      </c>
    </row>
    <row r="25" ht="22.5" customHeight="1">
      <c r="A25" s="12" t="s">
        <v>102</v>
      </c>
      <c r="B25" s="13" t="s">
        <v>103</v>
      </c>
      <c r="C25" s="14" t="s">
        <v>10</v>
      </c>
      <c r="D25" s="7" t="s">
        <v>11</v>
      </c>
      <c r="E25" s="8">
        <v>45748.0</v>
      </c>
      <c r="F25" s="15" t="s">
        <v>104</v>
      </c>
      <c r="G25" s="16" t="s">
        <v>105</v>
      </c>
      <c r="H25" s="17" t="str">
        <f>HYPERLINK("https://drive.google.com/file/d/1GfyaVUIvEBZWIqb5NVlXLOqlQHyLLg0v/view?usp=drivesdk","Certificado_Fase_Pré_Analítica_24")</f>
        <v>Certificado_Fase_Pré_Analítica_24</v>
      </c>
    </row>
    <row r="26" ht="22.5" customHeight="1">
      <c r="A26" s="4" t="s">
        <v>106</v>
      </c>
      <c r="B26" s="5" t="s">
        <v>107</v>
      </c>
      <c r="C26" s="6" t="s">
        <v>10</v>
      </c>
      <c r="D26" s="7" t="s">
        <v>11</v>
      </c>
      <c r="E26" s="8">
        <v>45748.0</v>
      </c>
      <c r="F26" s="9" t="s">
        <v>108</v>
      </c>
      <c r="G26" s="10" t="s">
        <v>109</v>
      </c>
      <c r="H26" s="11" t="str">
        <f>HYPERLINK("https://drive.google.com/file/d/1pag9kG90EtdNMDLLUvugIb2tCj1mDuj3/view?usp=drivesdk","Certificado_Fase_Pré_Analítica_25")</f>
        <v>Certificado_Fase_Pré_Analítica_25</v>
      </c>
    </row>
    <row r="27" ht="22.5" customHeight="1">
      <c r="A27" s="12" t="s">
        <v>110</v>
      </c>
      <c r="B27" s="13" t="s">
        <v>111</v>
      </c>
      <c r="C27" s="14" t="s">
        <v>10</v>
      </c>
      <c r="D27" s="7" t="s">
        <v>11</v>
      </c>
      <c r="E27" s="8">
        <v>45748.0</v>
      </c>
      <c r="F27" s="15" t="s">
        <v>112</v>
      </c>
      <c r="G27" s="16" t="s">
        <v>113</v>
      </c>
      <c r="H27" s="17" t="str">
        <f>HYPERLINK("https://drive.google.com/file/d/1v8s-lHxA4TtDzrb8txgITbnlohBDb-8J/view?usp=drivesdk","Certificado_Fase_Pré_Analítica_26")</f>
        <v>Certificado_Fase_Pré_Analítica_26</v>
      </c>
    </row>
    <row r="28" ht="22.5" customHeight="1">
      <c r="A28" s="4" t="s">
        <v>114</v>
      </c>
      <c r="B28" s="5" t="s">
        <v>115</v>
      </c>
      <c r="C28" s="6" t="s">
        <v>10</v>
      </c>
      <c r="D28" s="7" t="s">
        <v>11</v>
      </c>
      <c r="E28" s="8">
        <v>45748.0</v>
      </c>
      <c r="F28" s="9" t="s">
        <v>116</v>
      </c>
      <c r="G28" s="10" t="s">
        <v>117</v>
      </c>
      <c r="H28" s="11" t="str">
        <f>HYPERLINK("https://drive.google.com/file/d/1cMqaXRE-sDKQn-KSifrxduVplEiEcouc/view?usp=drivesdk","Certificado_Fase_Pré_Analítica_27")</f>
        <v>Certificado_Fase_Pré_Analítica_27</v>
      </c>
    </row>
    <row r="29" ht="22.5" customHeight="1">
      <c r="A29" s="12" t="s">
        <v>118</v>
      </c>
      <c r="B29" s="13" t="s">
        <v>119</v>
      </c>
      <c r="C29" s="14" t="s">
        <v>10</v>
      </c>
      <c r="D29" s="7" t="s">
        <v>11</v>
      </c>
      <c r="E29" s="8">
        <v>45748.0</v>
      </c>
      <c r="F29" s="15" t="s">
        <v>120</v>
      </c>
      <c r="G29" s="16" t="s">
        <v>121</v>
      </c>
      <c r="H29" s="17" t="str">
        <f>HYPERLINK("https://drive.google.com/file/d/1kEtes2x8qkujZGxs3AJBi2iFWOtkGuks/view?usp=drivesdk","Certificado_Fase_Pré_Analítica_28")</f>
        <v>Certificado_Fase_Pré_Analítica_28</v>
      </c>
    </row>
    <row r="30" ht="22.5" customHeight="1">
      <c r="A30" s="4" t="s">
        <v>122</v>
      </c>
      <c r="B30" s="5" t="s">
        <v>123</v>
      </c>
      <c r="C30" s="6" t="s">
        <v>10</v>
      </c>
      <c r="D30" s="7" t="s">
        <v>11</v>
      </c>
      <c r="E30" s="8">
        <v>45748.0</v>
      </c>
      <c r="F30" s="9" t="s">
        <v>124</v>
      </c>
      <c r="G30" s="10" t="s">
        <v>125</v>
      </c>
      <c r="H30" s="11" t="str">
        <f>HYPERLINK("https://drive.google.com/file/d/1Wze1b4zGTg9GDEoN7RsepKv5f7543RMd/view?usp=drivesdk","Certificado_Fase_Pré_Analítica_29")</f>
        <v>Certificado_Fase_Pré_Analítica_29</v>
      </c>
    </row>
    <row r="31" ht="22.5" customHeight="1">
      <c r="A31" s="12" t="s">
        <v>126</v>
      </c>
      <c r="B31" s="13" t="s">
        <v>127</v>
      </c>
      <c r="C31" s="14" t="s">
        <v>10</v>
      </c>
      <c r="D31" s="7" t="s">
        <v>11</v>
      </c>
      <c r="E31" s="8">
        <v>45748.0</v>
      </c>
      <c r="F31" s="15" t="s">
        <v>128</v>
      </c>
      <c r="G31" s="16" t="s">
        <v>129</v>
      </c>
      <c r="H31" s="17" t="str">
        <f>HYPERLINK("https://drive.google.com/file/d/1-l7yW1KA1ETNEAoI2Dp5UNk_8bG-V-_S/view?usp=drivesdk","Certificado_Fase_Pré_Analítica_30")</f>
        <v>Certificado_Fase_Pré_Analítica_30</v>
      </c>
    </row>
    <row r="32" ht="22.5" customHeight="1">
      <c r="A32" s="4" t="s">
        <v>130</v>
      </c>
      <c r="B32" s="5" t="s">
        <v>131</v>
      </c>
      <c r="C32" s="6" t="s">
        <v>10</v>
      </c>
      <c r="D32" s="7" t="s">
        <v>11</v>
      </c>
      <c r="E32" s="8">
        <v>45748.0</v>
      </c>
      <c r="F32" s="9" t="s">
        <v>132</v>
      </c>
      <c r="G32" s="10" t="s">
        <v>133</v>
      </c>
      <c r="H32" s="11" t="str">
        <f>HYPERLINK("https://drive.google.com/file/d/1utxrhzpd-V2_vzz25daEkpyH66qoZols/view?usp=drivesdk","Certificado_Fase_Pré_Analítica_31")</f>
        <v>Certificado_Fase_Pré_Analítica_31</v>
      </c>
    </row>
    <row r="33" ht="22.5" customHeight="1">
      <c r="A33" s="12" t="s">
        <v>134</v>
      </c>
      <c r="B33" s="13" t="s">
        <v>135</v>
      </c>
      <c r="C33" s="14" t="s">
        <v>10</v>
      </c>
      <c r="D33" s="7" t="s">
        <v>11</v>
      </c>
      <c r="E33" s="8">
        <v>45748.0</v>
      </c>
      <c r="F33" s="15" t="s">
        <v>136</v>
      </c>
      <c r="G33" s="16" t="s">
        <v>137</v>
      </c>
      <c r="H33" s="17" t="str">
        <f>HYPERLINK("https://drive.google.com/file/d/1_bXPiAKnpwVobaKFmgrsFfIWrgsT4quL/view?usp=drivesdk","Certificado_Fase_Pré_Analítica_32")</f>
        <v>Certificado_Fase_Pré_Analítica_32</v>
      </c>
    </row>
    <row r="34" ht="22.5" customHeight="1">
      <c r="A34" s="4" t="s">
        <v>138</v>
      </c>
      <c r="B34" s="5" t="s">
        <v>139</v>
      </c>
      <c r="C34" s="6" t="s">
        <v>10</v>
      </c>
      <c r="D34" s="7" t="s">
        <v>11</v>
      </c>
      <c r="E34" s="8">
        <v>45748.0</v>
      </c>
      <c r="F34" s="9" t="s">
        <v>140</v>
      </c>
      <c r="G34" s="10" t="s">
        <v>141</v>
      </c>
      <c r="H34" s="11" t="str">
        <f>HYPERLINK("https://drive.google.com/file/d/1hir9Yes82c3FI0gnd_6ZAC2u0OUuxIJD/view?usp=drivesdk","Certificado_Fase_Pré_Analítica_33")</f>
        <v>Certificado_Fase_Pré_Analítica_33</v>
      </c>
    </row>
    <row r="35" ht="22.5" customHeight="1">
      <c r="A35" s="12" t="s">
        <v>142</v>
      </c>
      <c r="B35" s="13" t="s">
        <v>143</v>
      </c>
      <c r="C35" s="14" t="s">
        <v>10</v>
      </c>
      <c r="D35" s="7" t="s">
        <v>11</v>
      </c>
      <c r="E35" s="8">
        <v>45748.0</v>
      </c>
      <c r="F35" s="15" t="s">
        <v>144</v>
      </c>
      <c r="G35" s="16" t="s">
        <v>145</v>
      </c>
      <c r="H35" s="17" t="str">
        <f>HYPERLINK("https://drive.google.com/file/d/1EAO7-xCai8ltCAxCJlmlGfaQw6K23lo5/view?usp=drivesdk","Certificado_Fase_Pré_Analítica_34")</f>
        <v>Certificado_Fase_Pré_Analítica_34</v>
      </c>
    </row>
    <row r="36" ht="22.5" customHeight="1">
      <c r="A36" s="4" t="s">
        <v>146</v>
      </c>
      <c r="B36" s="5" t="s">
        <v>147</v>
      </c>
      <c r="C36" s="6" t="s">
        <v>10</v>
      </c>
      <c r="D36" s="7" t="s">
        <v>11</v>
      </c>
      <c r="E36" s="8">
        <v>45748.0</v>
      </c>
      <c r="F36" s="9" t="s">
        <v>148</v>
      </c>
      <c r="G36" s="10" t="s">
        <v>149</v>
      </c>
      <c r="H36" s="11" t="str">
        <f>HYPERLINK("https://drive.google.com/file/d/1natuoyV_9VZ4huFe56JuRQrcIeqfujRA/view?usp=drivesdk","Certificado_Fase_Pré_Analítica_35")</f>
        <v>Certificado_Fase_Pré_Analítica_35</v>
      </c>
    </row>
    <row r="37" ht="22.5" customHeight="1">
      <c r="A37" s="12" t="s">
        <v>150</v>
      </c>
      <c r="B37" s="13" t="s">
        <v>151</v>
      </c>
      <c r="C37" s="14" t="s">
        <v>10</v>
      </c>
      <c r="D37" s="7" t="s">
        <v>11</v>
      </c>
      <c r="E37" s="8">
        <v>45748.0</v>
      </c>
      <c r="F37" s="15" t="s">
        <v>152</v>
      </c>
      <c r="G37" s="16" t="s">
        <v>153</v>
      </c>
      <c r="H37" s="17" t="str">
        <f>HYPERLINK("https://drive.google.com/file/d/1UOPGxUEqif6FjhOKDkFi2XBqhG-MvcDV/view?usp=drivesdk","Certificado_Fase_Pré_Analítica_36")</f>
        <v>Certificado_Fase_Pré_Analítica_36</v>
      </c>
    </row>
    <row r="38" ht="22.5" customHeight="1">
      <c r="A38" s="4" t="s">
        <v>154</v>
      </c>
      <c r="B38" s="5" t="s">
        <v>155</v>
      </c>
      <c r="C38" s="6" t="s">
        <v>10</v>
      </c>
      <c r="D38" s="7" t="s">
        <v>11</v>
      </c>
      <c r="E38" s="8">
        <v>45748.0</v>
      </c>
      <c r="F38" s="9" t="s">
        <v>156</v>
      </c>
      <c r="G38" s="10" t="s">
        <v>157</v>
      </c>
      <c r="H38" s="11" t="str">
        <f>HYPERLINK("https://drive.google.com/file/d/1TkI3JVHKsGpFP9pO0ppJoVxAm0VIHzIx/view?usp=drivesdk","Certificado_Fase_Pré_Analítica_37")</f>
        <v>Certificado_Fase_Pré_Analítica_37</v>
      </c>
    </row>
    <row r="39" ht="22.5" customHeight="1">
      <c r="A39" s="12" t="s">
        <v>158</v>
      </c>
      <c r="B39" s="13" t="s">
        <v>159</v>
      </c>
      <c r="C39" s="14" t="s">
        <v>10</v>
      </c>
      <c r="D39" s="7" t="s">
        <v>11</v>
      </c>
      <c r="E39" s="8">
        <v>45748.0</v>
      </c>
      <c r="F39" s="15" t="s">
        <v>160</v>
      </c>
      <c r="G39" s="16" t="s">
        <v>161</v>
      </c>
      <c r="H39" s="17" t="str">
        <f>HYPERLINK("https://drive.google.com/file/d/11qr8FOM1aTr2LiwL6DOZP1AiJ5Buv27N/view?usp=drivesdk","Certificado_Fase_Pré_Analítica_38")</f>
        <v>Certificado_Fase_Pré_Analítica_38</v>
      </c>
    </row>
    <row r="40" ht="22.5" customHeight="1">
      <c r="A40" s="18" t="s">
        <v>162</v>
      </c>
      <c r="B40" s="19" t="s">
        <v>163</v>
      </c>
      <c r="C40" s="20" t="s">
        <v>10</v>
      </c>
      <c r="D40" s="21" t="s">
        <v>11</v>
      </c>
      <c r="E40" s="22">
        <v>45748.0</v>
      </c>
      <c r="F40" s="23" t="s">
        <v>164</v>
      </c>
      <c r="G40" s="24" t="s">
        <v>165</v>
      </c>
      <c r="H40" s="25" t="str">
        <f>HYPERLINK("https://drive.google.com/file/d/1PkROsBP-SiKHyulex0X7wXEpSX8XQRuh/view?usp=drivesdk","Certificado_Fase_Pré_Analítica_39")</f>
        <v>Certificado_Fase_Pré_Analítica_39</v>
      </c>
    </row>
    <row r="41" ht="22.5" customHeight="1">
      <c r="A41" s="6" t="s">
        <v>166</v>
      </c>
      <c r="B41" s="5" t="s">
        <v>167</v>
      </c>
      <c r="C41" s="6" t="s">
        <v>168</v>
      </c>
      <c r="D41" s="7" t="s">
        <v>169</v>
      </c>
      <c r="E41" s="8">
        <v>45756.0</v>
      </c>
      <c r="F41" s="9" t="s">
        <v>170</v>
      </c>
      <c r="G41" s="10" t="s">
        <v>171</v>
      </c>
      <c r="H41" s="11" t="str">
        <f>HYPERLINK("https://drive.google.com/file/d/13Ov1u66CsJAKaXm_F_mZEMPr0Q0kCaEj/view?usp=drivesdk","Certificado_Curativos_Especiais_1")</f>
        <v>Certificado_Curativos_Especiais_1</v>
      </c>
    </row>
    <row r="42" ht="22.5" customHeight="1">
      <c r="A42" s="14" t="s">
        <v>172</v>
      </c>
      <c r="B42" s="13" t="s">
        <v>173</v>
      </c>
      <c r="C42" s="14" t="s">
        <v>168</v>
      </c>
      <c r="D42" s="7" t="s">
        <v>169</v>
      </c>
      <c r="E42" s="8">
        <v>45756.0</v>
      </c>
      <c r="F42" s="15" t="s">
        <v>174</v>
      </c>
      <c r="G42" s="16" t="s">
        <v>175</v>
      </c>
      <c r="H42" s="17" t="str">
        <f>HYPERLINK("https://drive.google.com/file/d/1eOUXo-CaMFOLhfQA9CPWSd4WijcEvf7S/view?usp=drivesdk","Certificado_Curativos_Especiais_2")</f>
        <v>Certificado_Curativos_Especiais_2</v>
      </c>
    </row>
    <row r="43" ht="22.5" customHeight="1">
      <c r="A43" s="6" t="s">
        <v>176</v>
      </c>
      <c r="B43" s="5" t="s">
        <v>177</v>
      </c>
      <c r="C43" s="6" t="s">
        <v>168</v>
      </c>
      <c r="D43" s="7" t="s">
        <v>169</v>
      </c>
      <c r="E43" s="8">
        <v>45756.0</v>
      </c>
      <c r="F43" s="9" t="s">
        <v>178</v>
      </c>
      <c r="G43" s="10" t="s">
        <v>179</v>
      </c>
      <c r="H43" s="11" t="str">
        <f>HYPERLINK("https://drive.google.com/file/d/106yN0AVsFaRZZTGsIW7vkzbnHU__ic1B/view?usp=drivesdk","Certificado_Curativos_Especiais_3")</f>
        <v>Certificado_Curativos_Especiais_3</v>
      </c>
    </row>
    <row r="44" ht="22.5" customHeight="1">
      <c r="A44" s="14" t="s">
        <v>180</v>
      </c>
      <c r="B44" s="13" t="s">
        <v>181</v>
      </c>
      <c r="C44" s="14" t="s">
        <v>168</v>
      </c>
      <c r="D44" s="7" t="s">
        <v>169</v>
      </c>
      <c r="E44" s="8">
        <v>45756.0</v>
      </c>
      <c r="F44" s="15" t="s">
        <v>182</v>
      </c>
      <c r="G44" s="16" t="s">
        <v>183</v>
      </c>
      <c r="H44" s="17" t="str">
        <f>HYPERLINK("https://drive.google.com/file/d/18JHFI0lOKa00R06zXoX-SD3SJvHE30p9/view?usp=drivesdk","Certificado_Curativos_Especiais_4")</f>
        <v>Certificado_Curativos_Especiais_4</v>
      </c>
    </row>
    <row r="45" ht="22.5" customHeight="1">
      <c r="A45" s="6" t="s">
        <v>184</v>
      </c>
      <c r="B45" s="5" t="s">
        <v>185</v>
      </c>
      <c r="C45" s="6" t="s">
        <v>168</v>
      </c>
      <c r="D45" s="7" t="s">
        <v>169</v>
      </c>
      <c r="E45" s="8">
        <v>45756.0</v>
      </c>
      <c r="F45" s="9" t="s">
        <v>186</v>
      </c>
      <c r="G45" s="10" t="s">
        <v>187</v>
      </c>
      <c r="H45" s="11" t="str">
        <f>HYPERLINK("https://drive.google.com/file/d/1Rrss4JB0V4n9YzZ_xW_I5zmPnez0onks/view?usp=drivesdk","Certificado_Curativos_Especiais_5")</f>
        <v>Certificado_Curativos_Especiais_5</v>
      </c>
    </row>
    <row r="46" ht="22.5" customHeight="1">
      <c r="A46" s="14" t="s">
        <v>188</v>
      </c>
      <c r="B46" s="13" t="s">
        <v>189</v>
      </c>
      <c r="C46" s="14" t="s">
        <v>168</v>
      </c>
      <c r="D46" s="7" t="s">
        <v>169</v>
      </c>
      <c r="E46" s="8">
        <v>45756.0</v>
      </c>
      <c r="F46" s="15" t="s">
        <v>190</v>
      </c>
      <c r="G46" s="16" t="s">
        <v>191</v>
      </c>
      <c r="H46" s="17" t="str">
        <f>HYPERLINK("https://drive.google.com/file/d/1Sjn8ngl9ppDbrDqDe5k2kmwoQLpIZk6N/view?usp=drivesdk","Certificado_Curativos_Especiais_6")</f>
        <v>Certificado_Curativos_Especiais_6</v>
      </c>
    </row>
    <row r="47" ht="22.5" customHeight="1">
      <c r="A47" s="6" t="s">
        <v>192</v>
      </c>
      <c r="B47" s="5" t="s">
        <v>193</v>
      </c>
      <c r="C47" s="6" t="s">
        <v>168</v>
      </c>
      <c r="D47" s="7" t="s">
        <v>169</v>
      </c>
      <c r="E47" s="8">
        <v>45756.0</v>
      </c>
      <c r="F47" s="9" t="s">
        <v>194</v>
      </c>
      <c r="G47" s="10" t="s">
        <v>195</v>
      </c>
      <c r="H47" s="11" t="str">
        <f>HYPERLINK("https://drive.google.com/file/d/1TdcuBx6C65IQJeGS_T9QXwfTMDl6OYgE/view?usp=drivesdk","Certificado_Curativos_Especiais_7")</f>
        <v>Certificado_Curativos_Especiais_7</v>
      </c>
    </row>
    <row r="48" ht="22.5" customHeight="1">
      <c r="A48" s="14" t="s">
        <v>196</v>
      </c>
      <c r="B48" s="13" t="s">
        <v>197</v>
      </c>
      <c r="C48" s="14" t="s">
        <v>168</v>
      </c>
      <c r="D48" s="7" t="s">
        <v>169</v>
      </c>
      <c r="E48" s="8">
        <v>45756.0</v>
      </c>
      <c r="F48" s="15" t="s">
        <v>198</v>
      </c>
      <c r="G48" s="16" t="s">
        <v>199</v>
      </c>
      <c r="H48" s="17" t="str">
        <f>HYPERLINK("https://drive.google.com/file/d/1UdW1RthgQLSQ4M3NJw6wR9a-dCBRvl2s/view?usp=drivesdk","Certificado_Curativos_Especiais_8")</f>
        <v>Certificado_Curativos_Especiais_8</v>
      </c>
    </row>
    <row r="49" ht="22.5" customHeight="1">
      <c r="A49" s="6" t="s">
        <v>200</v>
      </c>
      <c r="B49" s="5" t="s">
        <v>201</v>
      </c>
      <c r="C49" s="6" t="s">
        <v>168</v>
      </c>
      <c r="D49" s="7" t="s">
        <v>169</v>
      </c>
      <c r="E49" s="8">
        <v>45756.0</v>
      </c>
      <c r="F49" s="9" t="s">
        <v>202</v>
      </c>
      <c r="G49" s="10" t="s">
        <v>203</v>
      </c>
      <c r="H49" s="11" t="str">
        <f>HYPERLINK("https://drive.google.com/file/d/1VthwbV0caVL53MmMFefInjDd4mTYukgQ/view?usp=drivesdk","Certificado_Curativos_Especiais_9")</f>
        <v>Certificado_Curativos_Especiais_9</v>
      </c>
    </row>
    <row r="50" ht="22.5" customHeight="1">
      <c r="A50" s="14" t="s">
        <v>204</v>
      </c>
      <c r="B50" s="13" t="s">
        <v>205</v>
      </c>
      <c r="C50" s="14" t="s">
        <v>168</v>
      </c>
      <c r="D50" s="7" t="s">
        <v>169</v>
      </c>
      <c r="E50" s="8">
        <v>45756.0</v>
      </c>
      <c r="F50" s="15" t="s">
        <v>206</v>
      </c>
      <c r="G50" s="16" t="s">
        <v>207</v>
      </c>
      <c r="H50" s="17" t="str">
        <f>HYPERLINK("https://drive.google.com/file/d/1bD7uO7ES7nDCvgRcMCXdlnsOjLg8upto/view?usp=drivesdk","Certificado_Curativos_Especiais_10")</f>
        <v>Certificado_Curativos_Especiais_10</v>
      </c>
    </row>
    <row r="51" ht="22.5" customHeight="1">
      <c r="A51" s="6" t="s">
        <v>208</v>
      </c>
      <c r="B51" s="5" t="s">
        <v>209</v>
      </c>
      <c r="C51" s="6" t="s">
        <v>168</v>
      </c>
      <c r="D51" s="7" t="s">
        <v>169</v>
      </c>
      <c r="E51" s="8">
        <v>45756.0</v>
      </c>
      <c r="F51" s="9" t="s">
        <v>210</v>
      </c>
      <c r="G51" s="10" t="s">
        <v>211</v>
      </c>
      <c r="H51" s="11" t="str">
        <f>HYPERLINK("https://drive.google.com/file/d/19myzHN1UJG4BewxLf7DpU2AJlDRT7dqY/view?usp=drivesdk","Certificado_Curativos_Especiais_11")</f>
        <v>Certificado_Curativos_Especiais_11</v>
      </c>
    </row>
    <row r="52" ht="22.5" customHeight="1">
      <c r="A52" s="14" t="s">
        <v>212</v>
      </c>
      <c r="B52" s="13" t="s">
        <v>213</v>
      </c>
      <c r="C52" s="14" t="s">
        <v>168</v>
      </c>
      <c r="D52" s="7" t="s">
        <v>169</v>
      </c>
      <c r="E52" s="8">
        <v>45756.0</v>
      </c>
      <c r="F52" s="15" t="s">
        <v>214</v>
      </c>
      <c r="G52" s="16" t="s">
        <v>215</v>
      </c>
      <c r="H52" s="17" t="str">
        <f>HYPERLINK("https://drive.google.com/file/d/1oFYdmPaJvHC3W9mXau1qkAeA33wqgbpz/view?usp=drivesdk","Certificado_Curativos_Especiais_12")</f>
        <v>Certificado_Curativos_Especiais_12</v>
      </c>
    </row>
    <row r="53" ht="22.5" customHeight="1">
      <c r="A53" s="6" t="s">
        <v>216</v>
      </c>
      <c r="B53" s="5" t="s">
        <v>217</v>
      </c>
      <c r="C53" s="6" t="s">
        <v>168</v>
      </c>
      <c r="D53" s="7" t="s">
        <v>169</v>
      </c>
      <c r="E53" s="8">
        <v>45756.0</v>
      </c>
      <c r="F53" s="9" t="s">
        <v>218</v>
      </c>
      <c r="G53" s="10" t="s">
        <v>219</v>
      </c>
      <c r="H53" s="11" t="str">
        <f>HYPERLINK("https://drive.google.com/file/d/1g3_7HpKORFwXf95v_3S9156iwtd9jg1P/view?usp=drivesdk","Certificado_Curativos_Especiais_13")</f>
        <v>Certificado_Curativos_Especiais_13</v>
      </c>
    </row>
    <row r="54" ht="22.5" customHeight="1">
      <c r="A54" s="14" t="s">
        <v>220</v>
      </c>
      <c r="B54" s="13" t="s">
        <v>221</v>
      </c>
      <c r="C54" s="14" t="s">
        <v>168</v>
      </c>
      <c r="D54" s="7" t="s">
        <v>169</v>
      </c>
      <c r="E54" s="8">
        <v>45756.0</v>
      </c>
      <c r="F54" s="15" t="s">
        <v>222</v>
      </c>
      <c r="G54" s="16" t="s">
        <v>223</v>
      </c>
      <c r="H54" s="17" t="str">
        <f>HYPERLINK("https://drive.google.com/file/d/1gevsT8NjY-C9Ip11hhNP5wuyAmKb-2sO/view?usp=drivesdk","Certificado_Curativos_Especiais_14")</f>
        <v>Certificado_Curativos_Especiais_14</v>
      </c>
    </row>
    <row r="55" ht="22.5" customHeight="1">
      <c r="A55" s="6" t="s">
        <v>224</v>
      </c>
      <c r="B55" s="5" t="s">
        <v>225</v>
      </c>
      <c r="C55" s="6" t="s">
        <v>168</v>
      </c>
      <c r="D55" s="7" t="s">
        <v>169</v>
      </c>
      <c r="E55" s="8">
        <v>45756.0</v>
      </c>
      <c r="F55" s="9" t="s">
        <v>226</v>
      </c>
      <c r="G55" s="10" t="s">
        <v>227</v>
      </c>
      <c r="H55" s="11" t="str">
        <f>HYPERLINK("https://drive.google.com/file/d/1emPouehjedX8QRlBvBaeohoom-D2stLI/view?usp=drivesdk","Certificado_Curativos_Especiais_15")</f>
        <v>Certificado_Curativos_Especiais_15</v>
      </c>
    </row>
    <row r="56" ht="22.5" customHeight="1">
      <c r="A56" s="14" t="s">
        <v>228</v>
      </c>
      <c r="B56" s="13" t="s">
        <v>229</v>
      </c>
      <c r="C56" s="14" t="s">
        <v>168</v>
      </c>
      <c r="D56" s="7" t="s">
        <v>169</v>
      </c>
      <c r="E56" s="8">
        <v>45756.0</v>
      </c>
      <c r="F56" s="15" t="s">
        <v>230</v>
      </c>
      <c r="G56" s="16" t="s">
        <v>231</v>
      </c>
      <c r="H56" s="17" t="str">
        <f>HYPERLINK("https://drive.google.com/file/d/1S-3YFmQvNt3hApvkxVSVoSzZ1l2d4Y3a/view?usp=drivesdk","Certificado_Curativos_Especiais_16")</f>
        <v>Certificado_Curativos_Especiais_16</v>
      </c>
    </row>
    <row r="57" ht="22.5" customHeight="1">
      <c r="A57" s="6" t="s">
        <v>232</v>
      </c>
      <c r="B57" s="5" t="s">
        <v>233</v>
      </c>
      <c r="C57" s="6" t="s">
        <v>168</v>
      </c>
      <c r="D57" s="7" t="s">
        <v>169</v>
      </c>
      <c r="E57" s="8">
        <v>45756.0</v>
      </c>
      <c r="F57" s="9" t="s">
        <v>234</v>
      </c>
      <c r="G57" s="10" t="s">
        <v>235</v>
      </c>
      <c r="H57" s="11" t="str">
        <f>HYPERLINK("https://drive.google.com/file/d/1Rl4z-lcK-6TFBEaRKCA4l4gJhm4d00w_/view?usp=drivesdk","Certificado_Curativos_Especiais_17")</f>
        <v>Certificado_Curativos_Especiais_17</v>
      </c>
    </row>
    <row r="58" ht="22.5" customHeight="1">
      <c r="A58" s="14" t="s">
        <v>236</v>
      </c>
      <c r="B58" s="13" t="s">
        <v>237</v>
      </c>
      <c r="C58" s="14" t="s">
        <v>168</v>
      </c>
      <c r="D58" s="7" t="s">
        <v>169</v>
      </c>
      <c r="E58" s="8">
        <v>45756.0</v>
      </c>
      <c r="F58" s="15" t="s">
        <v>238</v>
      </c>
      <c r="G58" s="16" t="s">
        <v>239</v>
      </c>
      <c r="H58" s="17" t="str">
        <f>HYPERLINK("https://drive.google.com/file/d/1UAsfzIeonqXi0Ce95vcr4M_UPlKOht7z/view?usp=drivesdk","Certificado_Curativos_Especiais_18")</f>
        <v>Certificado_Curativos_Especiais_18</v>
      </c>
    </row>
    <row r="59" ht="22.5" customHeight="1">
      <c r="A59" s="6" t="s">
        <v>240</v>
      </c>
      <c r="B59" s="5" t="s">
        <v>241</v>
      </c>
      <c r="C59" s="6" t="s">
        <v>168</v>
      </c>
      <c r="D59" s="7" t="s">
        <v>169</v>
      </c>
      <c r="E59" s="8">
        <v>45756.0</v>
      </c>
      <c r="F59" s="9" t="s">
        <v>242</v>
      </c>
      <c r="G59" s="10" t="s">
        <v>243</v>
      </c>
      <c r="H59" s="11" t="str">
        <f>HYPERLINK("https://drive.google.com/file/d/1SwRkUMORkNXL51BBnDlvy9HTDijboU56/view?usp=drivesdk","Certificado_Curativos_Especiais_19")</f>
        <v>Certificado_Curativos_Especiais_19</v>
      </c>
    </row>
    <row r="60" ht="22.5" customHeight="1">
      <c r="A60" s="14" t="s">
        <v>244</v>
      </c>
      <c r="B60" s="13" t="s">
        <v>245</v>
      </c>
      <c r="C60" s="14" t="s">
        <v>168</v>
      </c>
      <c r="D60" s="7" t="s">
        <v>169</v>
      </c>
      <c r="E60" s="8">
        <v>45756.0</v>
      </c>
      <c r="F60" s="15" t="s">
        <v>246</v>
      </c>
      <c r="G60" s="16" t="s">
        <v>247</v>
      </c>
      <c r="H60" s="17" t="str">
        <f>HYPERLINK("https://drive.google.com/file/d/1A9yGIWJ_wtzVrne5bKvCQ9ElZb_yLbh8/view?usp=drivesdk","Certificado_Curativos_Especiais_20")</f>
        <v>Certificado_Curativos_Especiais_20</v>
      </c>
    </row>
    <row r="61" ht="22.5" customHeight="1">
      <c r="A61" s="6" t="s">
        <v>248</v>
      </c>
      <c r="B61" s="5" t="s">
        <v>249</v>
      </c>
      <c r="C61" s="6" t="s">
        <v>168</v>
      </c>
      <c r="D61" s="7" t="s">
        <v>169</v>
      </c>
      <c r="E61" s="8">
        <v>45756.0</v>
      </c>
      <c r="F61" s="9" t="s">
        <v>250</v>
      </c>
      <c r="G61" s="10" t="s">
        <v>251</v>
      </c>
      <c r="H61" s="11" t="str">
        <f>HYPERLINK("https://drive.google.com/file/d/1Xmakd3YOGicoWxurPzbKiRqQrHspLRAu/view?usp=drivesdk","Certificado_Curativos_Especiais_21")</f>
        <v>Certificado_Curativos_Especiais_21</v>
      </c>
    </row>
    <row r="62" ht="22.5" customHeight="1">
      <c r="A62" s="26" t="s">
        <v>252</v>
      </c>
      <c r="B62" s="27" t="s">
        <v>253</v>
      </c>
      <c r="C62" s="26" t="s">
        <v>168</v>
      </c>
      <c r="D62" s="21" t="s">
        <v>169</v>
      </c>
      <c r="E62" s="22">
        <v>45756.0</v>
      </c>
      <c r="F62" s="28" t="s">
        <v>254</v>
      </c>
      <c r="G62" s="29" t="s">
        <v>255</v>
      </c>
      <c r="H62" s="30" t="str">
        <f>HYPERLINK("https://drive.google.com/file/d/1rK1mHhoHGoe4Ktg849Nkk1YVVWrF6wqn/view?usp=drivesdk","Certificado_Curativos_Especiais_22")</f>
        <v>Certificado_Curativos_Especiais_22</v>
      </c>
    </row>
    <row r="63" ht="22.5" customHeight="1">
      <c r="A63" s="4" t="s">
        <v>256</v>
      </c>
      <c r="B63" s="13" t="s">
        <v>257</v>
      </c>
      <c r="C63" s="6" t="s">
        <v>258</v>
      </c>
      <c r="D63" s="7" t="s">
        <v>169</v>
      </c>
      <c r="E63" s="8">
        <v>45772.0</v>
      </c>
      <c r="F63" s="9" t="s">
        <v>259</v>
      </c>
      <c r="G63" s="10" t="s">
        <v>260</v>
      </c>
      <c r="H63" s="11" t="str">
        <f>HYPERLINK("https://drive.google.com/file/d/1-hUqPhb2vt96wyn5-aJgGVVXlz9Jbu7C/view?usp=drivesdk","Certificado_Trein_Consistência_Espessantes_1")</f>
        <v>Certificado_Trein_Consistência_Espessantes_1</v>
      </c>
    </row>
    <row r="64" ht="22.5" customHeight="1">
      <c r="A64" s="12" t="s">
        <v>261</v>
      </c>
      <c r="B64" s="13" t="s">
        <v>262</v>
      </c>
      <c r="C64" s="14" t="s">
        <v>258</v>
      </c>
      <c r="D64" s="7" t="s">
        <v>169</v>
      </c>
      <c r="E64" s="8">
        <v>45772.0</v>
      </c>
      <c r="F64" s="15" t="s">
        <v>263</v>
      </c>
      <c r="G64" s="16" t="s">
        <v>264</v>
      </c>
      <c r="H64" s="17" t="str">
        <f>HYPERLINK("https://drive.google.com/file/d/14IVpg-C43bou7h-_Xe9ojQ1wL7kqhrkZ/view?usp=drivesdk","Certificado_Trein_Consistência_Espessantes_2")</f>
        <v>Certificado_Trein_Consistência_Espessantes_2</v>
      </c>
    </row>
    <row r="65" ht="22.5" customHeight="1">
      <c r="A65" s="4" t="s">
        <v>265</v>
      </c>
      <c r="B65" s="13" t="s">
        <v>266</v>
      </c>
      <c r="C65" s="6" t="s">
        <v>258</v>
      </c>
      <c r="D65" s="7" t="s">
        <v>169</v>
      </c>
      <c r="E65" s="8">
        <v>45772.0</v>
      </c>
      <c r="F65" s="9" t="s">
        <v>267</v>
      </c>
      <c r="G65" s="10" t="s">
        <v>268</v>
      </c>
      <c r="H65" s="11" t="str">
        <f>HYPERLINK("https://drive.google.com/file/d/1YmoOiOxxRSpbil-JCjFlJvXIF9uIjwqk/view?usp=drivesdk","Certificado_Trein_Consistência_Espessantes_3")</f>
        <v>Certificado_Trein_Consistência_Espessantes_3</v>
      </c>
    </row>
    <row r="66" ht="22.5" customHeight="1">
      <c r="A66" s="12" t="s">
        <v>269</v>
      </c>
      <c r="B66" s="13" t="s">
        <v>270</v>
      </c>
      <c r="C66" s="14" t="s">
        <v>258</v>
      </c>
      <c r="D66" s="7" t="s">
        <v>169</v>
      </c>
      <c r="E66" s="8">
        <v>45772.0</v>
      </c>
      <c r="F66" s="15" t="s">
        <v>271</v>
      </c>
      <c r="G66" s="16" t="s">
        <v>272</v>
      </c>
      <c r="H66" s="17" t="str">
        <f>HYPERLINK("https://drive.google.com/file/d/1C9qLt1hHfaXhiBBOQx5JcoO8ha3dhcV1/view?usp=drivesdk","Certificado_Trein_Consistência_Espessantes_4")</f>
        <v>Certificado_Trein_Consistência_Espessantes_4</v>
      </c>
    </row>
    <row r="67" ht="22.5" customHeight="1">
      <c r="A67" s="4" t="s">
        <v>273</v>
      </c>
      <c r="B67" s="13" t="s">
        <v>274</v>
      </c>
      <c r="C67" s="6" t="s">
        <v>258</v>
      </c>
      <c r="D67" s="7" t="s">
        <v>169</v>
      </c>
      <c r="E67" s="8">
        <v>45772.0</v>
      </c>
      <c r="F67" s="9" t="s">
        <v>275</v>
      </c>
      <c r="G67" s="10" t="s">
        <v>276</v>
      </c>
      <c r="H67" s="11" t="str">
        <f>HYPERLINK("https://drive.google.com/file/d/1tVH-5KvM9CqAaMPXeW7v5jrx07KaReiA/view?usp=drivesdk","Certificado_Trein_Consistência_Espessantes_5")</f>
        <v>Certificado_Trein_Consistência_Espessantes_5</v>
      </c>
    </row>
    <row r="68" ht="22.5" customHeight="1">
      <c r="A68" s="12" t="s">
        <v>277</v>
      </c>
      <c r="B68" s="13" t="s">
        <v>278</v>
      </c>
      <c r="C68" s="14" t="s">
        <v>258</v>
      </c>
      <c r="D68" s="7" t="s">
        <v>169</v>
      </c>
      <c r="E68" s="8">
        <v>45772.0</v>
      </c>
      <c r="F68" s="15" t="s">
        <v>279</v>
      </c>
      <c r="G68" s="16" t="s">
        <v>280</v>
      </c>
      <c r="H68" s="17" t="str">
        <f>HYPERLINK("https://drive.google.com/file/d/1DpxekTaepVodBrjCShEvibbvXb5ylUWV/view?usp=drivesdk","Certificado_Trein_Consistência_Espessantes_6")</f>
        <v>Certificado_Trein_Consistência_Espessantes_6</v>
      </c>
    </row>
    <row r="69" ht="22.5" customHeight="1">
      <c r="A69" s="4" t="s">
        <v>281</v>
      </c>
      <c r="B69" s="13" t="s">
        <v>282</v>
      </c>
      <c r="C69" s="6" t="s">
        <v>258</v>
      </c>
      <c r="D69" s="7" t="s">
        <v>169</v>
      </c>
      <c r="E69" s="8">
        <v>45772.0</v>
      </c>
      <c r="F69" s="9" t="s">
        <v>283</v>
      </c>
      <c r="G69" s="10" t="s">
        <v>284</v>
      </c>
      <c r="H69" s="11" t="str">
        <f>HYPERLINK("https://drive.google.com/file/d/1cfu79rHqYBVEDJ4EeIyOXKIpqVRTlEfy/view?usp=drivesdk","Certificado_Trein_Consistência_Espessantes_7")</f>
        <v>Certificado_Trein_Consistência_Espessantes_7</v>
      </c>
    </row>
    <row r="70" ht="22.5" customHeight="1">
      <c r="A70" s="12" t="s">
        <v>285</v>
      </c>
      <c r="B70" s="13" t="s">
        <v>286</v>
      </c>
      <c r="C70" s="14" t="s">
        <v>258</v>
      </c>
      <c r="D70" s="7" t="s">
        <v>169</v>
      </c>
      <c r="E70" s="8">
        <v>45772.0</v>
      </c>
      <c r="F70" s="15" t="s">
        <v>287</v>
      </c>
      <c r="G70" s="16" t="s">
        <v>288</v>
      </c>
      <c r="H70" s="17" t="str">
        <f>HYPERLINK("https://drive.google.com/file/d/1cpW-sEtFrKQgSWm36uitCl1ndJN31xcj/view?usp=drivesdk","Certificado_Trein_Consistência_Espessantes_8")</f>
        <v>Certificado_Trein_Consistência_Espessantes_8</v>
      </c>
    </row>
    <row r="71" ht="22.5" customHeight="1">
      <c r="A71" s="4" t="s">
        <v>289</v>
      </c>
      <c r="B71" s="13" t="s">
        <v>290</v>
      </c>
      <c r="C71" s="6" t="s">
        <v>258</v>
      </c>
      <c r="D71" s="7" t="s">
        <v>169</v>
      </c>
      <c r="E71" s="8">
        <v>45772.0</v>
      </c>
      <c r="F71" s="9" t="s">
        <v>291</v>
      </c>
      <c r="G71" s="10" t="s">
        <v>292</v>
      </c>
      <c r="H71" s="11" t="str">
        <f>HYPERLINK("https://drive.google.com/file/d/1atZFdCaUAXO8LEQRI0hsplVZGj3WDoUZ/view?usp=drivesdk","Certificado_Trein_Consistência_Espessantes_9")</f>
        <v>Certificado_Trein_Consistência_Espessantes_9</v>
      </c>
    </row>
    <row r="72" ht="22.5" customHeight="1">
      <c r="A72" s="12" t="s">
        <v>293</v>
      </c>
      <c r="B72" s="13" t="s">
        <v>294</v>
      </c>
      <c r="C72" s="14" t="s">
        <v>258</v>
      </c>
      <c r="D72" s="7" t="s">
        <v>169</v>
      </c>
      <c r="E72" s="8">
        <v>45772.0</v>
      </c>
      <c r="F72" s="15" t="s">
        <v>295</v>
      </c>
      <c r="G72" s="16" t="s">
        <v>296</v>
      </c>
      <c r="H72" s="17" t="str">
        <f>HYPERLINK("https://drive.google.com/file/d/1ZanqX_UccyAt0aZxY4vJQxqFWlOnVl55/view?usp=drivesdk","Certificado_Trein_Consistência_Espessantes_10")</f>
        <v>Certificado_Trein_Consistência_Espessantes_10</v>
      </c>
    </row>
    <row r="73" ht="22.5" customHeight="1">
      <c r="A73" s="4" t="s">
        <v>297</v>
      </c>
      <c r="B73" s="13" t="s">
        <v>298</v>
      </c>
      <c r="C73" s="6" t="s">
        <v>258</v>
      </c>
      <c r="D73" s="7" t="s">
        <v>169</v>
      </c>
      <c r="E73" s="8">
        <v>45772.0</v>
      </c>
      <c r="F73" s="9" t="s">
        <v>299</v>
      </c>
      <c r="G73" s="10" t="s">
        <v>300</v>
      </c>
      <c r="H73" s="11" t="str">
        <f>HYPERLINK("https://drive.google.com/file/d/1FWS_917g12pKRxKqSAH0oZKW3HXz8llg/view?usp=drivesdk","Certificado_Trein_Consistência_Espessantes_11")</f>
        <v>Certificado_Trein_Consistência_Espessantes_11</v>
      </c>
    </row>
    <row r="74" ht="22.5" customHeight="1">
      <c r="A74" s="12" t="s">
        <v>301</v>
      </c>
      <c r="B74" s="13" t="s">
        <v>302</v>
      </c>
      <c r="C74" s="14" t="s">
        <v>258</v>
      </c>
      <c r="D74" s="7" t="s">
        <v>169</v>
      </c>
      <c r="E74" s="8">
        <v>45772.0</v>
      </c>
      <c r="F74" s="15" t="s">
        <v>303</v>
      </c>
      <c r="G74" s="16" t="s">
        <v>304</v>
      </c>
      <c r="H74" s="17" t="str">
        <f>HYPERLINK("https://drive.google.com/file/d/1Xump-vb_8Y0csLIyUMTWGSk0tPrFCmLv/view?usp=drivesdk","Certificado_Trein_Consistência_Espessantes_12")</f>
        <v>Certificado_Trein_Consistência_Espessantes_12</v>
      </c>
    </row>
    <row r="75" ht="22.5" customHeight="1">
      <c r="A75" s="4" t="s">
        <v>305</v>
      </c>
      <c r="B75" s="13" t="s">
        <v>306</v>
      </c>
      <c r="C75" s="6" t="s">
        <v>258</v>
      </c>
      <c r="D75" s="7" t="s">
        <v>169</v>
      </c>
      <c r="E75" s="8">
        <v>45772.0</v>
      </c>
      <c r="F75" s="9" t="s">
        <v>307</v>
      </c>
      <c r="G75" s="10" t="s">
        <v>308</v>
      </c>
      <c r="H75" s="11" t="str">
        <f>HYPERLINK("https://drive.google.com/file/d/1ck-Ad11MAPVJIeYU6zBFJW6_DUlED9LG/view?usp=drivesdk","Certificado_Trein_Consistência_Espessantes_13")</f>
        <v>Certificado_Trein_Consistência_Espessantes_13</v>
      </c>
    </row>
    <row r="76" ht="22.5" customHeight="1">
      <c r="A76" s="12" t="s">
        <v>309</v>
      </c>
      <c r="B76" s="13" t="s">
        <v>310</v>
      </c>
      <c r="C76" s="14" t="s">
        <v>258</v>
      </c>
      <c r="D76" s="7" t="s">
        <v>169</v>
      </c>
      <c r="E76" s="8">
        <v>45772.0</v>
      </c>
      <c r="F76" s="15" t="s">
        <v>311</v>
      </c>
      <c r="G76" s="16" t="s">
        <v>312</v>
      </c>
      <c r="H76" s="17" t="str">
        <f>HYPERLINK("https://drive.google.com/file/d/1XRG9QwTb93QqzvR-e-_RtRvKC70vO4U9/view?usp=drivesdk","Certificado_Trein_Consistência_Espessantes_14")</f>
        <v>Certificado_Trein_Consistência_Espessantes_14</v>
      </c>
    </row>
    <row r="77" ht="22.5" customHeight="1">
      <c r="A77" s="4" t="s">
        <v>313</v>
      </c>
      <c r="B77" s="13" t="s">
        <v>314</v>
      </c>
      <c r="C77" s="6" t="s">
        <v>258</v>
      </c>
      <c r="D77" s="7" t="s">
        <v>169</v>
      </c>
      <c r="E77" s="8">
        <v>45772.0</v>
      </c>
      <c r="F77" s="9" t="s">
        <v>315</v>
      </c>
      <c r="G77" s="10" t="s">
        <v>316</v>
      </c>
      <c r="H77" s="11" t="str">
        <f>HYPERLINK("https://drive.google.com/file/d/1GJ1dTm_4B-pt7RRvILGvlnEuOm0MJAB6/view?usp=drivesdk","Certificado_Trein_Consistência_Espessantes_15")</f>
        <v>Certificado_Trein_Consistência_Espessantes_15</v>
      </c>
    </row>
    <row r="78" ht="22.5" customHeight="1">
      <c r="A78" s="12" t="s">
        <v>317</v>
      </c>
      <c r="B78" s="13" t="s">
        <v>318</v>
      </c>
      <c r="C78" s="14" t="s">
        <v>258</v>
      </c>
      <c r="D78" s="7" t="s">
        <v>169</v>
      </c>
      <c r="E78" s="8">
        <v>45772.0</v>
      </c>
      <c r="F78" s="15" t="s">
        <v>319</v>
      </c>
      <c r="G78" s="16" t="s">
        <v>320</v>
      </c>
      <c r="H78" s="17" t="str">
        <f>HYPERLINK("https://drive.google.com/file/d/1mLWPJfZSZbX6hutCMTajszSCAEYebrx7/view?usp=drivesdk","Certificado_Trein_Consistência_Espessantes_16")</f>
        <v>Certificado_Trein_Consistência_Espessantes_16</v>
      </c>
    </row>
    <row r="79" ht="22.5" customHeight="1">
      <c r="A79" s="4" t="s">
        <v>321</v>
      </c>
      <c r="B79" s="13" t="s">
        <v>322</v>
      </c>
      <c r="C79" s="6" t="s">
        <v>258</v>
      </c>
      <c r="D79" s="7" t="s">
        <v>169</v>
      </c>
      <c r="E79" s="8">
        <v>45772.0</v>
      </c>
      <c r="F79" s="9" t="s">
        <v>323</v>
      </c>
      <c r="G79" s="10" t="s">
        <v>324</v>
      </c>
      <c r="H79" s="11" t="str">
        <f>HYPERLINK("https://drive.google.com/file/d/1xs8a7y1FhXVVS3nMjRazQ57Oo9AzDE7Q/view?usp=drivesdk","Certificado_Trein_Consistência_Espessantes_17")</f>
        <v>Certificado_Trein_Consistência_Espessantes_17</v>
      </c>
    </row>
    <row r="80" ht="22.5" customHeight="1">
      <c r="A80" s="12" t="s">
        <v>325</v>
      </c>
      <c r="B80" s="13" t="s">
        <v>326</v>
      </c>
      <c r="C80" s="14" t="s">
        <v>258</v>
      </c>
      <c r="D80" s="7" t="s">
        <v>169</v>
      </c>
      <c r="E80" s="8">
        <v>45772.0</v>
      </c>
      <c r="F80" s="15" t="s">
        <v>327</v>
      </c>
      <c r="G80" s="16" t="s">
        <v>328</v>
      </c>
      <c r="H80" s="17" t="str">
        <f>HYPERLINK("https://drive.google.com/file/d/1uUwo46Cpy800HJ7Nw3rpFQEk1szt9dJI/view?usp=drivesdk","Certificado_Trein_Consistência_Espessantes_18")</f>
        <v>Certificado_Trein_Consistência_Espessantes_18</v>
      </c>
    </row>
    <row r="81" ht="22.5" customHeight="1">
      <c r="A81" s="4" t="s">
        <v>329</v>
      </c>
      <c r="B81" s="13" t="s">
        <v>330</v>
      </c>
      <c r="C81" s="6" t="s">
        <v>258</v>
      </c>
      <c r="D81" s="7" t="s">
        <v>169</v>
      </c>
      <c r="E81" s="8">
        <v>45772.0</v>
      </c>
      <c r="F81" s="9" t="s">
        <v>331</v>
      </c>
      <c r="G81" s="10" t="s">
        <v>332</v>
      </c>
      <c r="H81" s="11" t="str">
        <f>HYPERLINK("https://drive.google.com/file/d/1dYZMI9xlPqYhPMgiZdmZkUAS24sz6dk-/view?usp=drivesdk","Certificado_Trein_Consistência_Espessantes_19")</f>
        <v>Certificado_Trein_Consistência_Espessantes_19</v>
      </c>
    </row>
    <row r="82" ht="22.5" customHeight="1">
      <c r="A82" s="12" t="s">
        <v>333</v>
      </c>
      <c r="B82" s="13" t="s">
        <v>334</v>
      </c>
      <c r="C82" s="14" t="s">
        <v>258</v>
      </c>
      <c r="D82" s="7" t="s">
        <v>169</v>
      </c>
      <c r="E82" s="8">
        <v>45772.0</v>
      </c>
      <c r="F82" s="15" t="s">
        <v>335</v>
      </c>
      <c r="G82" s="16" t="s">
        <v>336</v>
      </c>
      <c r="H82" s="17" t="str">
        <f>HYPERLINK("https://drive.google.com/file/d/1fURfKC58majiap5vrrsU8jCMeIjVH_mg/view?usp=drivesdk","Certificado_Trein_Consistência_Espessantes_20")</f>
        <v>Certificado_Trein_Consistência_Espessantes_20</v>
      </c>
    </row>
    <row r="83" ht="22.5" customHeight="1">
      <c r="A83" s="4" t="s">
        <v>337</v>
      </c>
      <c r="B83" s="13" t="s">
        <v>338</v>
      </c>
      <c r="C83" s="6" t="s">
        <v>258</v>
      </c>
      <c r="D83" s="7" t="s">
        <v>169</v>
      </c>
      <c r="E83" s="8">
        <v>45772.0</v>
      </c>
      <c r="F83" s="9" t="s">
        <v>339</v>
      </c>
      <c r="G83" s="10" t="s">
        <v>340</v>
      </c>
      <c r="H83" s="11" t="str">
        <f>HYPERLINK("https://drive.google.com/file/d/1dQpNFTllgfGu5dIIjI6Eq8bbocOUnk0H/view?usp=drivesdk","Certificado_Trein_Consistência_Espessantes_21")</f>
        <v>Certificado_Trein_Consistência_Espessantes_21</v>
      </c>
    </row>
    <row r="84" ht="22.5" customHeight="1">
      <c r="A84" s="12" t="s">
        <v>341</v>
      </c>
      <c r="B84" s="13" t="s">
        <v>342</v>
      </c>
      <c r="C84" s="14" t="s">
        <v>258</v>
      </c>
      <c r="D84" s="7" t="s">
        <v>169</v>
      </c>
      <c r="E84" s="8">
        <v>45772.0</v>
      </c>
      <c r="F84" s="15" t="s">
        <v>343</v>
      </c>
      <c r="G84" s="16" t="s">
        <v>344</v>
      </c>
      <c r="H84" s="17" t="str">
        <f>HYPERLINK("https://drive.google.com/file/d/1ML8jce_oPRSj2BIjw07wPdDgDKI9IA7G/view?usp=drivesdk","Certificado_Trein_Consistência_Espessantes_22")</f>
        <v>Certificado_Trein_Consistência_Espessantes_22</v>
      </c>
    </row>
    <row r="85" ht="22.5" customHeight="1">
      <c r="A85" s="4" t="s">
        <v>345</v>
      </c>
      <c r="B85" s="13" t="s">
        <v>346</v>
      </c>
      <c r="C85" s="6" t="s">
        <v>258</v>
      </c>
      <c r="D85" s="7" t="s">
        <v>169</v>
      </c>
      <c r="E85" s="8">
        <v>45772.0</v>
      </c>
      <c r="F85" s="9" t="s">
        <v>347</v>
      </c>
      <c r="G85" s="10" t="s">
        <v>348</v>
      </c>
      <c r="H85" s="11" t="str">
        <f>HYPERLINK("https://drive.google.com/file/d/1DU3YM_gsfy1XVWQZTmXZnoBSRIiuCLKF/view?usp=drivesdk","Certificado_Trein_Consistência_Espessantes_23")</f>
        <v>Certificado_Trein_Consistência_Espessantes_23</v>
      </c>
    </row>
    <row r="86" ht="22.5" customHeight="1">
      <c r="A86" s="12" t="s">
        <v>349</v>
      </c>
      <c r="B86" s="13" t="s">
        <v>350</v>
      </c>
      <c r="C86" s="14" t="s">
        <v>258</v>
      </c>
      <c r="D86" s="7" t="s">
        <v>169</v>
      </c>
      <c r="E86" s="8">
        <v>45772.0</v>
      </c>
      <c r="F86" s="15" t="s">
        <v>351</v>
      </c>
      <c r="G86" s="16" t="s">
        <v>352</v>
      </c>
      <c r="H86" s="17" t="str">
        <f>HYPERLINK("https://drive.google.com/file/d/1wD0c64kxKGMRBkGdcKi1nKv1KeT1CK2K/view?usp=drivesdk","Certificado_Trein_Consistência_Espessantes_24")</f>
        <v>Certificado_Trein_Consistência_Espessantes_24</v>
      </c>
    </row>
    <row r="87" ht="22.5" customHeight="1">
      <c r="A87" s="4" t="s">
        <v>353</v>
      </c>
      <c r="B87" s="13" t="s">
        <v>354</v>
      </c>
      <c r="C87" s="6" t="s">
        <v>258</v>
      </c>
      <c r="D87" s="7" t="s">
        <v>169</v>
      </c>
      <c r="E87" s="8">
        <v>45772.0</v>
      </c>
      <c r="F87" s="9" t="s">
        <v>355</v>
      </c>
      <c r="G87" s="10" t="s">
        <v>356</v>
      </c>
      <c r="H87" s="11" t="str">
        <f>HYPERLINK("https://drive.google.com/file/d/1AyVjoPYw5br_UfR-RrVxxBD94oKK37Mi/view?usp=drivesdk","Certificado_Trein_Consistência_Espessantes_25")</f>
        <v>Certificado_Trein_Consistência_Espessantes_25</v>
      </c>
    </row>
    <row r="88" ht="22.5" customHeight="1">
      <c r="A88" s="12" t="s">
        <v>357</v>
      </c>
      <c r="B88" s="13" t="s">
        <v>358</v>
      </c>
      <c r="C88" s="14" t="s">
        <v>258</v>
      </c>
      <c r="D88" s="7" t="s">
        <v>169</v>
      </c>
      <c r="E88" s="8">
        <v>45772.0</v>
      </c>
      <c r="F88" s="15" t="s">
        <v>359</v>
      </c>
      <c r="G88" s="16" t="s">
        <v>360</v>
      </c>
      <c r="H88" s="17" t="str">
        <f>HYPERLINK("https://drive.google.com/file/d/1ixQ4G_qDxTM2oI-VYd3UVSUtIdbjNTFf/view?usp=drivesdk","Certificado_Trein_Consistência_Espessantes_26")</f>
        <v>Certificado_Trein_Consistência_Espessantes_26</v>
      </c>
    </row>
    <row r="89" ht="22.5" customHeight="1">
      <c r="A89" s="4" t="s">
        <v>361</v>
      </c>
      <c r="B89" s="13" t="s">
        <v>362</v>
      </c>
      <c r="C89" s="6" t="s">
        <v>258</v>
      </c>
      <c r="D89" s="7" t="s">
        <v>169</v>
      </c>
      <c r="E89" s="8">
        <v>45772.0</v>
      </c>
      <c r="F89" s="9" t="s">
        <v>363</v>
      </c>
      <c r="G89" s="10" t="s">
        <v>364</v>
      </c>
      <c r="H89" s="11" t="str">
        <f>HYPERLINK("https://drive.google.com/file/d/1dT7cHXFSVWwgSMFGukiDiFqHA9f2wbph/view?usp=drivesdk","Certificado_Trein_Consistência_Espessantes_27")</f>
        <v>Certificado_Trein_Consistência_Espessantes_27</v>
      </c>
    </row>
    <row r="90" ht="22.5" customHeight="1">
      <c r="A90" s="12" t="s">
        <v>365</v>
      </c>
      <c r="B90" s="13" t="s">
        <v>366</v>
      </c>
      <c r="C90" s="14" t="s">
        <v>258</v>
      </c>
      <c r="D90" s="7" t="s">
        <v>169</v>
      </c>
      <c r="E90" s="8">
        <v>45772.0</v>
      </c>
      <c r="F90" s="15" t="s">
        <v>367</v>
      </c>
      <c r="G90" s="16" t="s">
        <v>368</v>
      </c>
      <c r="H90" s="17" t="str">
        <f>HYPERLINK("https://drive.google.com/file/d/1Al4fbcxKbvMf5IhoOqBFKZxCpDSHKl29/view?usp=drivesdk","Certificado_Trein_Consistência_Espessantes_28")</f>
        <v>Certificado_Trein_Consistência_Espessantes_28</v>
      </c>
    </row>
    <row r="91" ht="22.5" customHeight="1">
      <c r="A91" s="31" t="s">
        <v>369</v>
      </c>
      <c r="B91" s="32" t="s">
        <v>370</v>
      </c>
      <c r="C91" s="33" t="s">
        <v>258</v>
      </c>
      <c r="D91" s="21" t="s">
        <v>169</v>
      </c>
      <c r="E91" s="22">
        <v>45772.0</v>
      </c>
      <c r="F91" s="34" t="s">
        <v>371</v>
      </c>
      <c r="G91" s="35" t="s">
        <v>372</v>
      </c>
      <c r="H91" s="36" t="str">
        <f>HYPERLINK("https://drive.google.com/file/d/1C93GVETxYyxNIgSYzlTNYOi_cZg2iz3m/view?usp=drivesdk","Certificado_Trein_Consistência_Espessantes_29")</f>
        <v>Certificado_Trein_Consistência_Espessantes_29</v>
      </c>
    </row>
    <row r="92" ht="22.5" customHeight="1">
      <c r="A92" s="37" t="s">
        <v>373</v>
      </c>
      <c r="B92" s="38" t="s">
        <v>374</v>
      </c>
      <c r="C92" s="6" t="s">
        <v>375</v>
      </c>
      <c r="D92" s="7" t="s">
        <v>169</v>
      </c>
      <c r="E92" s="8">
        <v>45825.0</v>
      </c>
      <c r="F92" s="9" t="s">
        <v>376</v>
      </c>
      <c r="G92" s="10" t="s">
        <v>377</v>
      </c>
      <c r="H92" s="11" t="str">
        <f>HYPERLINK("https://drive.google.com/file/d/1bDXgWzB6y29r15MV3oPsCYRjaaKfvrsQ/view?usp=drivesdk","Certificado_Aspiração_VAS_TOT_Traqueo_42")</f>
        <v>Certificado_Aspiração_VAS_TOT_Traqueo_42</v>
      </c>
    </row>
    <row r="93" ht="22.5" customHeight="1">
      <c r="A93" s="12" t="s">
        <v>378</v>
      </c>
      <c r="B93" s="39" t="s">
        <v>379</v>
      </c>
      <c r="C93" s="14" t="s">
        <v>375</v>
      </c>
      <c r="D93" s="7" t="s">
        <v>169</v>
      </c>
      <c r="E93" s="8">
        <v>45825.0</v>
      </c>
      <c r="F93" s="15" t="s">
        <v>380</v>
      </c>
      <c r="G93" s="16" t="s">
        <v>381</v>
      </c>
      <c r="H93" s="17" t="str">
        <f>HYPERLINK("https://drive.google.com/file/d/1QoPxh4xwoxEvRhoAWf_Xo9ap6NSuCOpf/view?usp=drivesdk","Certificado_Aspiração_VAS_TOT_Traqueo_1")</f>
        <v>Certificado_Aspiração_VAS_TOT_Traqueo_1</v>
      </c>
    </row>
    <row r="94" ht="22.5" customHeight="1">
      <c r="A94" s="4" t="s">
        <v>382</v>
      </c>
      <c r="B94" s="38" t="s">
        <v>383</v>
      </c>
      <c r="C94" s="6" t="s">
        <v>375</v>
      </c>
      <c r="D94" s="7" t="s">
        <v>169</v>
      </c>
      <c r="E94" s="8">
        <v>45825.0</v>
      </c>
      <c r="F94" s="9" t="s">
        <v>384</v>
      </c>
      <c r="G94" s="10" t="s">
        <v>385</v>
      </c>
      <c r="H94" s="11" t="str">
        <f>HYPERLINK("https://drive.google.com/file/d/1DP9QjipHSOaOxZAYIkGoc--HkbLSie27/view?usp=drivesdk","Certificado_Aspiração_VAS_TOT_Traqueo_43")</f>
        <v>Certificado_Aspiração_VAS_TOT_Traqueo_43</v>
      </c>
    </row>
    <row r="95" ht="22.5" customHeight="1">
      <c r="A95" s="12" t="s">
        <v>386</v>
      </c>
      <c r="B95" s="39" t="s">
        <v>387</v>
      </c>
      <c r="C95" s="14" t="s">
        <v>375</v>
      </c>
      <c r="D95" s="7" t="s">
        <v>169</v>
      </c>
      <c r="E95" s="8">
        <v>45825.0</v>
      </c>
      <c r="F95" s="15" t="s">
        <v>388</v>
      </c>
      <c r="G95" s="16" t="s">
        <v>389</v>
      </c>
      <c r="H95" s="17" t="str">
        <f>HYPERLINK("https://drive.google.com/file/d/1CO2bgSjw-2bgK3oGzFnoAK2VbqA_3UJA/view?usp=drivesdk","Certificado_Aspiração_VAS_TOT_Traqueo_2")</f>
        <v>Certificado_Aspiração_VAS_TOT_Traqueo_2</v>
      </c>
    </row>
    <row r="96" ht="22.5" customHeight="1">
      <c r="A96" s="4" t="s">
        <v>390</v>
      </c>
      <c r="B96" s="38" t="s">
        <v>391</v>
      </c>
      <c r="C96" s="6" t="s">
        <v>375</v>
      </c>
      <c r="D96" s="7" t="s">
        <v>169</v>
      </c>
      <c r="E96" s="8">
        <v>45825.0</v>
      </c>
      <c r="F96" s="9" t="s">
        <v>392</v>
      </c>
      <c r="G96" s="10" t="s">
        <v>393</v>
      </c>
      <c r="H96" s="11" t="str">
        <f>HYPERLINK("https://drive.google.com/file/d/1Gx01g0iStvQ9Jx-51tu5BaM8Umy-oEXV/view?usp=drivesdk","Certificado_Aspiração_VAS_TOT_Traqueo_3")</f>
        <v>Certificado_Aspiração_VAS_TOT_Traqueo_3</v>
      </c>
    </row>
    <row r="97" ht="22.5" customHeight="1">
      <c r="A97" s="12" t="s">
        <v>394</v>
      </c>
      <c r="B97" s="39" t="s">
        <v>395</v>
      </c>
      <c r="C97" s="14" t="s">
        <v>375</v>
      </c>
      <c r="D97" s="7" t="s">
        <v>169</v>
      </c>
      <c r="E97" s="8">
        <v>45825.0</v>
      </c>
      <c r="F97" s="15" t="s">
        <v>396</v>
      </c>
      <c r="G97" s="16" t="s">
        <v>397</v>
      </c>
      <c r="H97" s="17" t="str">
        <f>HYPERLINK("https://drive.google.com/file/d/1aF7pyAnhYdUz6vaHYcWhGK6tWSj_7X_t/view?usp=drivesdk","Certificado_Aspiração_VAS_TOT_Traqueo_26")</f>
        <v>Certificado_Aspiração_VAS_TOT_Traqueo_26</v>
      </c>
    </row>
    <row r="98" ht="22.5" customHeight="1">
      <c r="A98" s="4" t="s">
        <v>398</v>
      </c>
      <c r="B98" s="38" t="s">
        <v>399</v>
      </c>
      <c r="C98" s="6" t="s">
        <v>375</v>
      </c>
      <c r="D98" s="7" t="s">
        <v>169</v>
      </c>
      <c r="E98" s="8">
        <v>45825.0</v>
      </c>
      <c r="F98" s="9" t="s">
        <v>400</v>
      </c>
      <c r="G98" s="10" t="s">
        <v>401</v>
      </c>
      <c r="H98" s="11" t="str">
        <f>HYPERLINK("https://drive.google.com/file/d/1zwRE1jq_NWGi6trLH8ZzkZgm-aNeEnPE/view?usp=drivesdk","Certificado_Aspiração_VAS_TOT_Traqueo_27")</f>
        <v>Certificado_Aspiração_VAS_TOT_Traqueo_27</v>
      </c>
    </row>
    <row r="99" ht="22.5" customHeight="1">
      <c r="A99" s="12" t="s">
        <v>402</v>
      </c>
      <c r="B99" s="39" t="s">
        <v>403</v>
      </c>
      <c r="C99" s="14" t="s">
        <v>375</v>
      </c>
      <c r="D99" s="7" t="s">
        <v>169</v>
      </c>
      <c r="E99" s="8">
        <v>45825.0</v>
      </c>
      <c r="F99" s="15" t="s">
        <v>404</v>
      </c>
      <c r="G99" s="16" t="s">
        <v>405</v>
      </c>
      <c r="H99" s="17" t="str">
        <f>HYPERLINK("https://drive.google.com/file/d/18gn02Fqt5Rm3zoieKhjbTdmaCO0mRu3c/view?usp=drivesdk","Certificado_Aspiração_VAS_TOT_Traqueo_57")</f>
        <v>Certificado_Aspiração_VAS_TOT_Traqueo_57</v>
      </c>
    </row>
    <row r="100" ht="22.5" customHeight="1">
      <c r="A100" s="4" t="s">
        <v>406</v>
      </c>
      <c r="B100" s="38" t="s">
        <v>407</v>
      </c>
      <c r="C100" s="6" t="s">
        <v>375</v>
      </c>
      <c r="D100" s="7" t="s">
        <v>169</v>
      </c>
      <c r="E100" s="8">
        <v>45825.0</v>
      </c>
      <c r="F100" s="9" t="s">
        <v>408</v>
      </c>
      <c r="G100" s="10" t="s">
        <v>409</v>
      </c>
      <c r="H100" s="11" t="str">
        <f>HYPERLINK("https://drive.google.com/file/d/1T0j9HKoq8uUs6sJqn_OQcIKJwRFcRJ0c/view?usp=drivesdk","Certificado_Aspiração_VAS_TOT_Traqueo_44")</f>
        <v>Certificado_Aspiração_VAS_TOT_Traqueo_44</v>
      </c>
    </row>
    <row r="101" ht="22.5" customHeight="1">
      <c r="A101" s="12" t="s">
        <v>410</v>
      </c>
      <c r="B101" s="39" t="s">
        <v>411</v>
      </c>
      <c r="C101" s="14" t="s">
        <v>375</v>
      </c>
      <c r="D101" s="7" t="s">
        <v>169</v>
      </c>
      <c r="E101" s="8">
        <v>45825.0</v>
      </c>
      <c r="F101" s="15" t="s">
        <v>412</v>
      </c>
      <c r="G101" s="16" t="s">
        <v>413</v>
      </c>
      <c r="H101" s="17" t="str">
        <f>HYPERLINK("https://drive.google.com/file/d/1hq3IQLVkITq-3RjLfOmjjG4d2cQWhbtd/view?usp=drivesdk","Certificado_Aspiração_VAS_TOT_Traqueo_28")</f>
        <v>Certificado_Aspiração_VAS_TOT_Traqueo_28</v>
      </c>
    </row>
    <row r="102" ht="22.5" customHeight="1">
      <c r="A102" s="4" t="s">
        <v>414</v>
      </c>
      <c r="B102" s="38" t="s">
        <v>415</v>
      </c>
      <c r="C102" s="6" t="s">
        <v>375</v>
      </c>
      <c r="D102" s="7" t="s">
        <v>169</v>
      </c>
      <c r="E102" s="8">
        <v>45825.0</v>
      </c>
      <c r="F102" s="9" t="s">
        <v>416</v>
      </c>
      <c r="G102" s="10" t="s">
        <v>417</v>
      </c>
      <c r="H102" s="11" t="str">
        <f>HYPERLINK("https://drive.google.com/file/d/10SePtPKvtl-_Fly5QvqYret_gntO5M1Z/view?usp=drivesdk","Certificado_Aspiração_VAS_TOT_Traqueo_45")</f>
        <v>Certificado_Aspiração_VAS_TOT_Traqueo_45</v>
      </c>
    </row>
    <row r="103" ht="22.5" customHeight="1">
      <c r="A103" s="12" t="s">
        <v>418</v>
      </c>
      <c r="B103" s="39" t="s">
        <v>419</v>
      </c>
      <c r="C103" s="14" t="s">
        <v>375</v>
      </c>
      <c r="D103" s="7" t="s">
        <v>169</v>
      </c>
      <c r="E103" s="8">
        <v>45825.0</v>
      </c>
      <c r="F103" s="15" t="s">
        <v>420</v>
      </c>
      <c r="G103" s="16" t="s">
        <v>421</v>
      </c>
      <c r="H103" s="17" t="str">
        <f>HYPERLINK("https://drive.google.com/file/d/1FULWWB6Z8AjvNJ9JbRqiB_gBd_LEMP0v/view?usp=drivesdk","Certificado_Aspiração_VAS_TOT_Traqueo_4")</f>
        <v>Certificado_Aspiração_VAS_TOT_Traqueo_4</v>
      </c>
    </row>
    <row r="104" ht="22.5" customHeight="1">
      <c r="A104" s="4" t="s">
        <v>422</v>
      </c>
      <c r="B104" s="38" t="s">
        <v>423</v>
      </c>
      <c r="C104" s="6" t="s">
        <v>375</v>
      </c>
      <c r="D104" s="7" t="s">
        <v>169</v>
      </c>
      <c r="E104" s="8">
        <v>45825.0</v>
      </c>
      <c r="F104" s="9" t="s">
        <v>424</v>
      </c>
      <c r="G104" s="10" t="s">
        <v>425</v>
      </c>
      <c r="H104" s="11" t="str">
        <f>HYPERLINK("https://drive.google.com/file/d/1K8OGh-n7Z7hslEgn8IZEdnc8jZHuxGQk/view?usp=drivesdk","Certificado_Aspiração_VAS_TOT_Traqueo_5")</f>
        <v>Certificado_Aspiração_VAS_TOT_Traqueo_5</v>
      </c>
    </row>
    <row r="105" ht="22.5" customHeight="1">
      <c r="A105" s="12" t="s">
        <v>426</v>
      </c>
      <c r="B105" s="39" t="s">
        <v>189</v>
      </c>
      <c r="C105" s="14" t="s">
        <v>375</v>
      </c>
      <c r="D105" s="7" t="s">
        <v>169</v>
      </c>
      <c r="E105" s="8">
        <v>45825.0</v>
      </c>
      <c r="F105" s="15" t="s">
        <v>427</v>
      </c>
      <c r="G105" s="16" t="s">
        <v>428</v>
      </c>
      <c r="H105" s="17" t="str">
        <f>HYPERLINK("https://drive.google.com/file/d/1lKHvP4YYh10SbKDeHLpwi6KrZ7LTCDj3/view?usp=drivesdk","Certificado_Aspiração_VAS_TOT_Traqueo_46")</f>
        <v>Certificado_Aspiração_VAS_TOT_Traqueo_46</v>
      </c>
    </row>
    <row r="106" ht="22.5" customHeight="1">
      <c r="A106" s="4" t="s">
        <v>429</v>
      </c>
      <c r="B106" s="38" t="s">
        <v>430</v>
      </c>
      <c r="C106" s="6" t="s">
        <v>375</v>
      </c>
      <c r="D106" s="7" t="s">
        <v>169</v>
      </c>
      <c r="E106" s="8">
        <v>45825.0</v>
      </c>
      <c r="F106" s="9" t="s">
        <v>431</v>
      </c>
      <c r="G106" s="10" t="s">
        <v>432</v>
      </c>
      <c r="H106" s="11" t="str">
        <f>HYPERLINK("https://drive.google.com/file/d/1hzE_tECp-7YYXsui6Q96JRU6pCbtOWxU/view?usp=drivesdk","Certificado_Aspiração_VAS_TOT_Traqueo_47")</f>
        <v>Certificado_Aspiração_VAS_TOT_Traqueo_47</v>
      </c>
    </row>
    <row r="107" ht="22.5" customHeight="1">
      <c r="A107" s="12" t="s">
        <v>433</v>
      </c>
      <c r="B107" s="39" t="s">
        <v>434</v>
      </c>
      <c r="C107" s="14" t="s">
        <v>375</v>
      </c>
      <c r="D107" s="7" t="s">
        <v>169</v>
      </c>
      <c r="E107" s="8">
        <v>45825.0</v>
      </c>
      <c r="F107" s="15" t="s">
        <v>435</v>
      </c>
      <c r="G107" s="16" t="s">
        <v>436</v>
      </c>
      <c r="H107" s="17" t="str">
        <f>HYPERLINK("https://drive.google.com/file/d/1gx1VgR4Rl9dmGBQvU5DINE6UKJkHU_Dl/view?usp=drivesdk","Certificado_Aspiração_VAS_TOT_Traqueo_48")</f>
        <v>Certificado_Aspiração_VAS_TOT_Traqueo_48</v>
      </c>
    </row>
    <row r="108" ht="22.5" customHeight="1">
      <c r="A108" s="4" t="s">
        <v>437</v>
      </c>
      <c r="B108" s="38" t="s">
        <v>438</v>
      </c>
      <c r="C108" s="6" t="s">
        <v>375</v>
      </c>
      <c r="D108" s="7" t="s">
        <v>169</v>
      </c>
      <c r="E108" s="8">
        <v>45825.0</v>
      </c>
      <c r="F108" s="9" t="s">
        <v>439</v>
      </c>
      <c r="G108" s="10" t="s">
        <v>440</v>
      </c>
      <c r="H108" s="11" t="str">
        <f>HYPERLINK("https://drive.google.com/file/d/1fV4enekp5liOnEj_HZq73K0BQN7hPiWu/view?usp=drivesdk","Certificado_Aspiração_VAS_TOT_Traqueo_49")</f>
        <v>Certificado_Aspiração_VAS_TOT_Traqueo_49</v>
      </c>
    </row>
    <row r="109" ht="22.5" customHeight="1">
      <c r="A109" s="12" t="s">
        <v>441</v>
      </c>
      <c r="B109" s="39" t="s">
        <v>442</v>
      </c>
      <c r="C109" s="14" t="s">
        <v>375</v>
      </c>
      <c r="D109" s="7" t="s">
        <v>169</v>
      </c>
      <c r="E109" s="8">
        <v>45825.0</v>
      </c>
      <c r="F109" s="15" t="s">
        <v>443</v>
      </c>
      <c r="G109" s="16" t="s">
        <v>444</v>
      </c>
      <c r="H109" s="17" t="str">
        <f>HYPERLINK("https://drive.google.com/file/d/1--P1widQFFuOd_9_6W0CdGSpUY0uRU_b/view?usp=drivesdk","Certificado_Aspiração_VAS_TOT_Traqueo_58")</f>
        <v>Certificado_Aspiração_VAS_TOT_Traqueo_58</v>
      </c>
    </row>
    <row r="110" ht="22.5" customHeight="1">
      <c r="A110" s="4" t="s">
        <v>445</v>
      </c>
      <c r="B110" s="38" t="s">
        <v>446</v>
      </c>
      <c r="C110" s="6" t="s">
        <v>375</v>
      </c>
      <c r="D110" s="7" t="s">
        <v>169</v>
      </c>
      <c r="E110" s="8">
        <v>45825.0</v>
      </c>
      <c r="F110" s="9" t="s">
        <v>447</v>
      </c>
      <c r="G110" s="10" t="s">
        <v>448</v>
      </c>
      <c r="H110" s="11" t="str">
        <f>HYPERLINK("https://drive.google.com/file/d/1zQR0LUsC290wv2PEh1wXoiUo8N8mLGFK/view?usp=drivesdk","Certificado_Aspiração_VAS_TOT_Traqueo_6")</f>
        <v>Certificado_Aspiração_VAS_TOT_Traqueo_6</v>
      </c>
    </row>
    <row r="111" ht="22.5" customHeight="1">
      <c r="A111" s="12" t="s">
        <v>449</v>
      </c>
      <c r="B111" s="39" t="s">
        <v>450</v>
      </c>
      <c r="C111" s="14" t="s">
        <v>375</v>
      </c>
      <c r="D111" s="7" t="s">
        <v>169</v>
      </c>
      <c r="E111" s="8">
        <v>45825.0</v>
      </c>
      <c r="F111" s="15" t="s">
        <v>451</v>
      </c>
      <c r="G111" s="16" t="s">
        <v>452</v>
      </c>
      <c r="H111" s="17" t="str">
        <f>HYPERLINK("https://drive.google.com/file/d/1ZUh9OrGfV9HwwY-2tBsmGaDj_JKOHBps/view?usp=drivesdk","Certificado_Aspiração_VAS_TOT_Traqueo_29")</f>
        <v>Certificado_Aspiração_VAS_TOT_Traqueo_29</v>
      </c>
    </row>
    <row r="112" ht="22.5" customHeight="1">
      <c r="A112" s="4" t="s">
        <v>453</v>
      </c>
      <c r="B112" s="38" t="s">
        <v>454</v>
      </c>
      <c r="C112" s="6" t="s">
        <v>375</v>
      </c>
      <c r="D112" s="7" t="s">
        <v>169</v>
      </c>
      <c r="E112" s="8">
        <v>45825.0</v>
      </c>
      <c r="F112" s="9" t="s">
        <v>455</v>
      </c>
      <c r="G112" s="10" t="s">
        <v>456</v>
      </c>
      <c r="H112" s="11" t="str">
        <f>HYPERLINK("https://drive.google.com/file/d/16qjmZnWQYJS7BZOqbq8CXV6Xn1lbehwG/view?usp=drivesdk","Certificado_Aspiração_VAS_TOT_Traqueo_30")</f>
        <v>Certificado_Aspiração_VAS_TOT_Traqueo_30</v>
      </c>
    </row>
    <row r="113" ht="22.5" customHeight="1">
      <c r="A113" s="12" t="s">
        <v>457</v>
      </c>
      <c r="B113" s="39" t="s">
        <v>458</v>
      </c>
      <c r="C113" s="14" t="s">
        <v>375</v>
      </c>
      <c r="D113" s="7" t="s">
        <v>169</v>
      </c>
      <c r="E113" s="8">
        <v>45825.0</v>
      </c>
      <c r="F113" s="15" t="s">
        <v>459</v>
      </c>
      <c r="G113" s="16" t="s">
        <v>460</v>
      </c>
      <c r="H113" s="17" t="str">
        <f>HYPERLINK("https://drive.google.com/file/d/1jd4xdlt0sYsH7kO361bh-HijWGpDhSff/view?usp=drivesdk","Certificado_Aspiração_VAS_TOT_Traqueo_59")</f>
        <v>Certificado_Aspiração_VAS_TOT_Traqueo_59</v>
      </c>
    </row>
    <row r="114" ht="22.5" customHeight="1">
      <c r="A114" s="4" t="s">
        <v>461</v>
      </c>
      <c r="B114" s="38" t="s">
        <v>462</v>
      </c>
      <c r="C114" s="6" t="s">
        <v>375</v>
      </c>
      <c r="D114" s="7" t="s">
        <v>169</v>
      </c>
      <c r="E114" s="8">
        <v>45825.0</v>
      </c>
      <c r="F114" s="9" t="s">
        <v>463</v>
      </c>
      <c r="G114" s="10" t="s">
        <v>464</v>
      </c>
      <c r="H114" s="11" t="str">
        <f>HYPERLINK("https://drive.google.com/file/d/1zydLo5sSTtR3QffCinzG3VAKjQwbyMmb/view?usp=drivesdk","Certificado_Aspiração_VAS_TOT_Traqueo_50")</f>
        <v>Certificado_Aspiração_VAS_TOT_Traqueo_50</v>
      </c>
    </row>
    <row r="115" ht="22.5" customHeight="1">
      <c r="A115" s="12" t="s">
        <v>465</v>
      </c>
      <c r="B115" s="39" t="s">
        <v>205</v>
      </c>
      <c r="C115" s="14" t="s">
        <v>375</v>
      </c>
      <c r="D115" s="7" t="s">
        <v>169</v>
      </c>
      <c r="E115" s="8">
        <v>45825.0</v>
      </c>
      <c r="F115" s="15" t="s">
        <v>466</v>
      </c>
      <c r="G115" s="16" t="s">
        <v>467</v>
      </c>
      <c r="H115" s="17" t="str">
        <f>HYPERLINK("https://drive.google.com/file/d/1dgQl-gwzSEs7nc0IyWTp2uAhvmfROM28/view?usp=drivesdk","Certificado_Aspiração_VAS_TOT_Traqueo_7")</f>
        <v>Certificado_Aspiração_VAS_TOT_Traqueo_7</v>
      </c>
    </row>
    <row r="116" ht="22.5" customHeight="1">
      <c r="A116" s="4" t="s">
        <v>468</v>
      </c>
      <c r="B116" s="38" t="s">
        <v>469</v>
      </c>
      <c r="C116" s="6" t="s">
        <v>375</v>
      </c>
      <c r="D116" s="7" t="s">
        <v>169</v>
      </c>
      <c r="E116" s="8">
        <v>45825.0</v>
      </c>
      <c r="F116" s="9" t="s">
        <v>470</v>
      </c>
      <c r="G116" s="10" t="s">
        <v>471</v>
      </c>
      <c r="H116" s="11" t="str">
        <f>HYPERLINK("https://drive.google.com/file/d/1Z6CNsm7-r3kj9g1lZ7knpuK_zzyrIEcg/view?usp=drivesdk","Certificado_Aspiração_VAS_TOT_Traqueo_51")</f>
        <v>Certificado_Aspiração_VAS_TOT_Traqueo_51</v>
      </c>
    </row>
    <row r="117" ht="22.5" customHeight="1">
      <c r="A117" s="12" t="s">
        <v>472</v>
      </c>
      <c r="B117" s="39" t="s">
        <v>473</v>
      </c>
      <c r="C117" s="14" t="s">
        <v>375</v>
      </c>
      <c r="D117" s="7" t="s">
        <v>169</v>
      </c>
      <c r="E117" s="8">
        <v>45825.0</v>
      </c>
      <c r="F117" s="15" t="s">
        <v>474</v>
      </c>
      <c r="G117" s="16" t="s">
        <v>475</v>
      </c>
      <c r="H117" s="17" t="str">
        <f>HYPERLINK("https://drive.google.com/file/d/1f3WDdRjtLFan74aekbb4v_Dh2CpHRmTr/view?usp=drivesdk","Certificado_Aspiração_VAS_TOT_Traqueo_60")</f>
        <v>Certificado_Aspiração_VAS_TOT_Traqueo_60</v>
      </c>
    </row>
    <row r="118" ht="22.5" customHeight="1">
      <c r="A118" s="4" t="s">
        <v>476</v>
      </c>
      <c r="B118" s="38" t="s">
        <v>477</v>
      </c>
      <c r="C118" s="6" t="s">
        <v>375</v>
      </c>
      <c r="D118" s="7" t="s">
        <v>169</v>
      </c>
      <c r="E118" s="8">
        <v>45825.0</v>
      </c>
      <c r="F118" s="9" t="s">
        <v>478</v>
      </c>
      <c r="G118" s="10" t="s">
        <v>479</v>
      </c>
      <c r="H118" s="11" t="str">
        <f>HYPERLINK("https://drive.google.com/file/d/1fvc_RIt_EcM7CjjN-tiMq3KtTone3xqy/view?usp=drivesdk","Certificado_Aspiração_VAS_TOT_Traqueo_8")</f>
        <v>Certificado_Aspiração_VAS_TOT_Traqueo_8</v>
      </c>
    </row>
    <row r="119" ht="22.5" customHeight="1">
      <c r="A119" s="12" t="s">
        <v>480</v>
      </c>
      <c r="B119" s="39" t="s">
        <v>481</v>
      </c>
      <c r="C119" s="14" t="s">
        <v>375</v>
      </c>
      <c r="D119" s="7" t="s">
        <v>169</v>
      </c>
      <c r="E119" s="8">
        <v>45825.0</v>
      </c>
      <c r="F119" s="15" t="s">
        <v>482</v>
      </c>
      <c r="G119" s="16" t="s">
        <v>483</v>
      </c>
      <c r="H119" s="17" t="str">
        <f>HYPERLINK("https://drive.google.com/file/d/1XZepGbR5qfoNREQsrHeI6c8jKtS4mzBe/view?usp=drivesdk","Certificado_Aspiração_VAS_TOT_Traqueo_9")</f>
        <v>Certificado_Aspiração_VAS_TOT_Traqueo_9</v>
      </c>
    </row>
    <row r="120" ht="22.5" customHeight="1">
      <c r="A120" s="4" t="s">
        <v>484</v>
      </c>
      <c r="B120" s="38" t="s">
        <v>485</v>
      </c>
      <c r="C120" s="6" t="s">
        <v>375</v>
      </c>
      <c r="D120" s="7" t="s">
        <v>169</v>
      </c>
      <c r="E120" s="8">
        <v>45825.0</v>
      </c>
      <c r="F120" s="9" t="s">
        <v>486</v>
      </c>
      <c r="G120" s="10" t="s">
        <v>487</v>
      </c>
      <c r="H120" s="11" t="str">
        <f>HYPERLINK("https://drive.google.com/file/d/1-l5EFPuCW6hON6hDhVd3ZwaIzrC_dQLp/view?usp=drivesdk","Certificado_Aspiração_VAS_TOT_Traqueo_10")</f>
        <v>Certificado_Aspiração_VAS_TOT_Traqueo_10</v>
      </c>
    </row>
    <row r="121" ht="22.5" customHeight="1">
      <c r="A121" s="12" t="s">
        <v>488</v>
      </c>
      <c r="B121" s="39" t="s">
        <v>489</v>
      </c>
      <c r="C121" s="14" t="s">
        <v>375</v>
      </c>
      <c r="D121" s="7" t="s">
        <v>169</v>
      </c>
      <c r="E121" s="8">
        <v>45825.0</v>
      </c>
      <c r="F121" s="15" t="s">
        <v>490</v>
      </c>
      <c r="G121" s="16" t="s">
        <v>491</v>
      </c>
      <c r="H121" s="17" t="str">
        <f>HYPERLINK("https://drive.google.com/file/d/1EdMMnp9IlGFKLwN_djKM9_RWpuzKN7dw/view?usp=drivesdk","Certificado_Aspiração_VAS_TOT_Traqueo_61")</f>
        <v>Certificado_Aspiração_VAS_TOT_Traqueo_61</v>
      </c>
    </row>
    <row r="122" ht="22.5" customHeight="1">
      <c r="A122" s="4" t="s">
        <v>492</v>
      </c>
      <c r="B122" s="38" t="s">
        <v>493</v>
      </c>
      <c r="C122" s="6" t="s">
        <v>375</v>
      </c>
      <c r="D122" s="7" t="s">
        <v>169</v>
      </c>
      <c r="E122" s="8">
        <v>45825.0</v>
      </c>
      <c r="F122" s="9" t="s">
        <v>494</v>
      </c>
      <c r="G122" s="10" t="s">
        <v>495</v>
      </c>
      <c r="H122" s="11" t="str">
        <f>HYPERLINK("https://drive.google.com/file/d/1A_mlOg6yzODnDJQwVPep4hjWrK6LkefQ/view?usp=drivesdk","Certificado_Aspiração_VAS_TOT_Traqueo_11")</f>
        <v>Certificado_Aspiração_VAS_TOT_Traqueo_11</v>
      </c>
    </row>
    <row r="123" ht="22.5" customHeight="1">
      <c r="A123" s="12" t="s">
        <v>496</v>
      </c>
      <c r="B123" s="39" t="s">
        <v>497</v>
      </c>
      <c r="C123" s="14" t="s">
        <v>375</v>
      </c>
      <c r="D123" s="7" t="s">
        <v>169</v>
      </c>
      <c r="E123" s="8">
        <v>45825.0</v>
      </c>
      <c r="F123" s="15" t="s">
        <v>498</v>
      </c>
      <c r="G123" s="16" t="s">
        <v>499</v>
      </c>
      <c r="H123" s="17" t="str">
        <f>HYPERLINK("https://drive.google.com/file/d/1DK23J-ET74fspj4ubnIeECr5kN85FWxr/view?usp=drivesdk","Certificado_Aspiração_VAS_TOT_Traqueo_12")</f>
        <v>Certificado_Aspiração_VAS_TOT_Traqueo_12</v>
      </c>
    </row>
    <row r="124" ht="22.5" customHeight="1">
      <c r="A124" s="4" t="s">
        <v>500</v>
      </c>
      <c r="B124" s="38" t="s">
        <v>501</v>
      </c>
      <c r="C124" s="6" t="s">
        <v>375</v>
      </c>
      <c r="D124" s="7" t="s">
        <v>169</v>
      </c>
      <c r="E124" s="8">
        <v>45825.0</v>
      </c>
      <c r="F124" s="9" t="s">
        <v>502</v>
      </c>
      <c r="G124" s="10" t="s">
        <v>503</v>
      </c>
      <c r="H124" s="11" t="str">
        <f>HYPERLINK("https://drive.google.com/file/d/1NVfA8svMj8pyOJVxF0qJWaMIN89RL8I_/view?usp=drivesdk","Certificado_Aspiração_VAS_TOT_Traqueo_52")</f>
        <v>Certificado_Aspiração_VAS_TOT_Traqueo_52</v>
      </c>
    </row>
    <row r="125" ht="22.5" customHeight="1">
      <c r="A125" s="12" t="s">
        <v>504</v>
      </c>
      <c r="B125" s="39" t="s">
        <v>505</v>
      </c>
      <c r="C125" s="14" t="s">
        <v>375</v>
      </c>
      <c r="D125" s="7" t="s">
        <v>169</v>
      </c>
      <c r="E125" s="8">
        <v>45825.0</v>
      </c>
      <c r="F125" s="15" t="s">
        <v>506</v>
      </c>
      <c r="G125" s="16" t="s">
        <v>507</v>
      </c>
      <c r="H125" s="17" t="str">
        <f>HYPERLINK("https://drive.google.com/file/d/1qrEUsip19B--FkYc2pwZUbgQkl-tZeow/view?usp=drivesdk","Certificado_Aspiração_VAS_TOT_Traqueo_62")</f>
        <v>Certificado_Aspiração_VAS_TOT_Traqueo_62</v>
      </c>
    </row>
    <row r="126" ht="22.5" customHeight="1">
      <c r="A126" s="4" t="s">
        <v>508</v>
      </c>
      <c r="B126" s="38" t="s">
        <v>509</v>
      </c>
      <c r="C126" s="6" t="s">
        <v>375</v>
      </c>
      <c r="D126" s="7" t="s">
        <v>169</v>
      </c>
      <c r="E126" s="8">
        <v>45825.0</v>
      </c>
      <c r="F126" s="9" t="s">
        <v>510</v>
      </c>
      <c r="G126" s="10" t="s">
        <v>511</v>
      </c>
      <c r="H126" s="11" t="str">
        <f>HYPERLINK("https://drive.google.com/file/d/1W9yqiVxfM3Ni0eVlbma1Opv65TsKiYTZ/view?usp=drivesdk","Certificado_Aspiração_VAS_TOT_Traqueo_31")</f>
        <v>Certificado_Aspiração_VAS_TOT_Traqueo_31</v>
      </c>
    </row>
    <row r="127" ht="22.5" customHeight="1">
      <c r="A127" s="12" t="s">
        <v>512</v>
      </c>
      <c r="B127" s="39" t="s">
        <v>513</v>
      </c>
      <c r="C127" s="14" t="s">
        <v>375</v>
      </c>
      <c r="D127" s="7" t="s">
        <v>169</v>
      </c>
      <c r="E127" s="8">
        <v>45825.0</v>
      </c>
      <c r="F127" s="15" t="s">
        <v>514</v>
      </c>
      <c r="G127" s="16" t="s">
        <v>515</v>
      </c>
      <c r="H127" s="17" t="str">
        <f>HYPERLINK("https://drive.google.com/file/d/1CVZYIZMj00wghjHoRbrGh23s03-kt6n8/view?usp=drivesdk","Certificado_Aspiração_VAS_TOT_Traqueo_32")</f>
        <v>Certificado_Aspiração_VAS_TOT_Traqueo_32</v>
      </c>
    </row>
    <row r="128" ht="22.5" customHeight="1">
      <c r="A128" s="4" t="s">
        <v>516</v>
      </c>
      <c r="B128" s="38" t="s">
        <v>517</v>
      </c>
      <c r="C128" s="6" t="s">
        <v>375</v>
      </c>
      <c r="D128" s="7" t="s">
        <v>169</v>
      </c>
      <c r="E128" s="8">
        <v>45825.0</v>
      </c>
      <c r="F128" s="9" t="s">
        <v>518</v>
      </c>
      <c r="G128" s="10" t="s">
        <v>519</v>
      </c>
      <c r="H128" s="11" t="str">
        <f>HYPERLINK("https://drive.google.com/file/d/1eNvAaOIAN64Pdg9YtiQkXIiM079HcE7X/view?usp=drivesdk","Certificado_Aspiração_VAS_TOT_Traqueo_13")</f>
        <v>Certificado_Aspiração_VAS_TOT_Traqueo_13</v>
      </c>
    </row>
    <row r="129" ht="22.5" customHeight="1">
      <c r="A129" s="12" t="s">
        <v>520</v>
      </c>
      <c r="B129" s="39" t="s">
        <v>521</v>
      </c>
      <c r="C129" s="14" t="s">
        <v>375</v>
      </c>
      <c r="D129" s="7" t="s">
        <v>169</v>
      </c>
      <c r="E129" s="8">
        <v>45825.0</v>
      </c>
      <c r="F129" s="15" t="s">
        <v>522</v>
      </c>
      <c r="G129" s="16" t="s">
        <v>523</v>
      </c>
      <c r="H129" s="17" t="str">
        <f>HYPERLINK("https://drive.google.com/file/d/13WHlk_j-RzEhXeUe7lwNNKQtwsM0WWJh/view?usp=drivesdk","Certificado_Aspiração_VAS_TOT_Traqueo_14")</f>
        <v>Certificado_Aspiração_VAS_TOT_Traqueo_14</v>
      </c>
    </row>
    <row r="130" ht="22.5" customHeight="1">
      <c r="A130" s="4" t="s">
        <v>524</v>
      </c>
      <c r="B130" s="38" t="s">
        <v>525</v>
      </c>
      <c r="C130" s="6" t="s">
        <v>375</v>
      </c>
      <c r="D130" s="7" t="s">
        <v>169</v>
      </c>
      <c r="E130" s="8">
        <v>45825.0</v>
      </c>
      <c r="F130" s="9" t="s">
        <v>526</v>
      </c>
      <c r="G130" s="10" t="s">
        <v>527</v>
      </c>
      <c r="H130" s="11" t="str">
        <f>HYPERLINK("https://drive.google.com/file/d/1GYmDE88_t4rT1JP9EzWNE6_sSOa_8i0u/view?usp=drivesdk","Certificado_Aspiração_VAS_TOT_Traqueo_63")</f>
        <v>Certificado_Aspiração_VAS_TOT_Traqueo_63</v>
      </c>
    </row>
    <row r="131" ht="22.5" customHeight="1">
      <c r="A131" s="12" t="s">
        <v>528</v>
      </c>
      <c r="B131" s="39" t="s">
        <v>529</v>
      </c>
      <c r="C131" s="14" t="s">
        <v>375</v>
      </c>
      <c r="D131" s="7" t="s">
        <v>169</v>
      </c>
      <c r="E131" s="8">
        <v>45825.0</v>
      </c>
      <c r="F131" s="15" t="s">
        <v>530</v>
      </c>
      <c r="G131" s="16" t="s">
        <v>531</v>
      </c>
      <c r="H131" s="17" t="str">
        <f>HYPERLINK("https://drive.google.com/file/d/1DYHYCkPuC1vgwu4NSvcjVxf6OBgwUMr7/view?usp=drivesdk","Certificado_Aspiração_VAS_TOT_Traqueo_64")</f>
        <v>Certificado_Aspiração_VAS_TOT_Traqueo_64</v>
      </c>
    </row>
    <row r="132" ht="22.5" customHeight="1">
      <c r="A132" s="4" t="s">
        <v>532</v>
      </c>
      <c r="B132" s="38" t="s">
        <v>533</v>
      </c>
      <c r="C132" s="6" t="s">
        <v>375</v>
      </c>
      <c r="D132" s="7" t="s">
        <v>169</v>
      </c>
      <c r="E132" s="8">
        <v>45825.0</v>
      </c>
      <c r="F132" s="9" t="s">
        <v>534</v>
      </c>
      <c r="G132" s="10" t="s">
        <v>535</v>
      </c>
      <c r="H132" s="11" t="str">
        <f>HYPERLINK("https://drive.google.com/file/d/1tozKkfiiNFNdsraAcb195xejFB-rMj6H/view?usp=drivesdk","Certificado_Aspiração_VAS_TOT_Traqueo_15")</f>
        <v>Certificado_Aspiração_VAS_TOT_Traqueo_15</v>
      </c>
    </row>
    <row r="133" ht="22.5" customHeight="1">
      <c r="A133" s="12" t="s">
        <v>536</v>
      </c>
      <c r="B133" s="39" t="s">
        <v>537</v>
      </c>
      <c r="C133" s="14" t="s">
        <v>375</v>
      </c>
      <c r="D133" s="7" t="s">
        <v>169</v>
      </c>
      <c r="E133" s="8">
        <v>45825.0</v>
      </c>
      <c r="F133" s="15" t="s">
        <v>538</v>
      </c>
      <c r="G133" s="16" t="s">
        <v>539</v>
      </c>
      <c r="H133" s="17" t="str">
        <f>HYPERLINK("https://drive.google.com/file/d/1kxMzJLyS3nWVNR-14jY9G-kWWewnB9AO/view?usp=drivesdk","Certificado_Aspiração_VAS_TOT_Traqueo_16")</f>
        <v>Certificado_Aspiração_VAS_TOT_Traqueo_16</v>
      </c>
    </row>
    <row r="134" ht="22.5" customHeight="1">
      <c r="A134" s="4" t="s">
        <v>540</v>
      </c>
      <c r="B134" s="38" t="s">
        <v>541</v>
      </c>
      <c r="C134" s="6" t="s">
        <v>375</v>
      </c>
      <c r="D134" s="7" t="s">
        <v>169</v>
      </c>
      <c r="E134" s="8">
        <v>45825.0</v>
      </c>
      <c r="F134" s="9" t="s">
        <v>542</v>
      </c>
      <c r="G134" s="10" t="s">
        <v>543</v>
      </c>
      <c r="H134" s="11" t="str">
        <f>HYPERLINK("https://drive.google.com/file/d/1hAA_B1XBu8xld4Fhl5sbF3ANh0LKxCcJ/view?usp=drivesdk","Certificado_Aspiração_VAS_TOT_Traqueo_17")</f>
        <v>Certificado_Aspiração_VAS_TOT_Traqueo_17</v>
      </c>
    </row>
    <row r="135" ht="22.5" customHeight="1">
      <c r="A135" s="12" t="s">
        <v>544</v>
      </c>
      <c r="B135" s="39" t="s">
        <v>545</v>
      </c>
      <c r="C135" s="14" t="s">
        <v>375</v>
      </c>
      <c r="D135" s="7" t="s">
        <v>169</v>
      </c>
      <c r="E135" s="8">
        <v>45825.0</v>
      </c>
      <c r="F135" s="15" t="s">
        <v>546</v>
      </c>
      <c r="G135" s="16" t="s">
        <v>547</v>
      </c>
      <c r="H135" s="17" t="str">
        <f>HYPERLINK("https://drive.google.com/file/d/1znzxU7h_yRVlD4rI90uUTgJrboqXpOWI/view?usp=drivesdk","Certificado_Aspiração_VAS_TOT_Traqueo_18")</f>
        <v>Certificado_Aspiração_VAS_TOT_Traqueo_18</v>
      </c>
    </row>
    <row r="136" ht="22.5" customHeight="1">
      <c r="A136" s="4" t="s">
        <v>548</v>
      </c>
      <c r="B136" s="38" t="s">
        <v>549</v>
      </c>
      <c r="C136" s="6" t="s">
        <v>375</v>
      </c>
      <c r="D136" s="7" t="s">
        <v>169</v>
      </c>
      <c r="E136" s="8">
        <v>45825.0</v>
      </c>
      <c r="F136" s="9" t="s">
        <v>550</v>
      </c>
      <c r="G136" s="10" t="s">
        <v>551</v>
      </c>
      <c r="H136" s="11" t="str">
        <f>HYPERLINK("https://drive.google.com/file/d/1tj9SBOE9jq6s70K2GHQ1EUWA0iOgdwwT/view?usp=drivesdk","Certificado_Aspiração_VAS_TOT_Traqueo_33")</f>
        <v>Certificado_Aspiração_VAS_TOT_Traqueo_33</v>
      </c>
    </row>
    <row r="137" ht="22.5" customHeight="1">
      <c r="A137" s="12" t="s">
        <v>552</v>
      </c>
      <c r="B137" s="39" t="s">
        <v>553</v>
      </c>
      <c r="C137" s="14" t="s">
        <v>375</v>
      </c>
      <c r="D137" s="7" t="s">
        <v>169</v>
      </c>
      <c r="E137" s="8">
        <v>45825.0</v>
      </c>
      <c r="F137" s="15" t="s">
        <v>554</v>
      </c>
      <c r="G137" s="16" t="s">
        <v>555</v>
      </c>
      <c r="H137" s="17" t="str">
        <f>HYPERLINK("https://drive.google.com/file/d/1V9iR3f9H6h6W69jf4YG40QtWM5wCEd7B/view?usp=drivesdk","Certificado_Aspiração_VAS_TOT_Traqueo_19")</f>
        <v>Certificado_Aspiração_VAS_TOT_Traqueo_19</v>
      </c>
    </row>
    <row r="138" ht="22.5" customHeight="1">
      <c r="A138" s="4" t="s">
        <v>556</v>
      </c>
      <c r="B138" s="38" t="s">
        <v>557</v>
      </c>
      <c r="C138" s="6" t="s">
        <v>375</v>
      </c>
      <c r="D138" s="7" t="s">
        <v>169</v>
      </c>
      <c r="E138" s="8">
        <v>45825.0</v>
      </c>
      <c r="F138" s="9" t="s">
        <v>558</v>
      </c>
      <c r="G138" s="10" t="s">
        <v>559</v>
      </c>
      <c r="H138" s="11" t="str">
        <f>HYPERLINK("https://drive.google.com/file/d/1dTvuQ9k_t6rD8ziBrf6Vud5qlXo0oF8a/view?usp=drivesdk","Certificado_Aspiração_VAS_TOT_Traqueo_34")</f>
        <v>Certificado_Aspiração_VAS_TOT_Traqueo_34</v>
      </c>
    </row>
    <row r="139" ht="22.5" customHeight="1">
      <c r="A139" s="12" t="s">
        <v>560</v>
      </c>
      <c r="B139" s="39" t="s">
        <v>561</v>
      </c>
      <c r="C139" s="14" t="s">
        <v>375</v>
      </c>
      <c r="D139" s="7" t="s">
        <v>169</v>
      </c>
      <c r="E139" s="8">
        <v>45825.0</v>
      </c>
      <c r="F139" s="15" t="s">
        <v>562</v>
      </c>
      <c r="G139" s="16" t="s">
        <v>563</v>
      </c>
      <c r="H139" s="17" t="str">
        <f>HYPERLINK("https://drive.google.com/file/d/1sajG3ufP0L_axP3l96e1l_Gsi_SYUnIp/view?usp=drivesdk","Certificado_Aspiração_VAS_TOT_Traqueo_35")</f>
        <v>Certificado_Aspiração_VAS_TOT_Traqueo_35</v>
      </c>
    </row>
    <row r="140" ht="22.5" customHeight="1">
      <c r="A140" s="4" t="s">
        <v>564</v>
      </c>
      <c r="B140" s="38" t="s">
        <v>565</v>
      </c>
      <c r="C140" s="6" t="s">
        <v>375</v>
      </c>
      <c r="D140" s="7" t="s">
        <v>169</v>
      </c>
      <c r="E140" s="8">
        <v>45825.0</v>
      </c>
      <c r="F140" s="9" t="s">
        <v>566</v>
      </c>
      <c r="G140" s="10" t="s">
        <v>567</v>
      </c>
      <c r="H140" s="11" t="str">
        <f>HYPERLINK("https://drive.google.com/file/d/1bZ7R2chdjH4qwjuC66n_ODGACdYRbU_e/view?usp=drivesdk","Certificado_Aspiração_VAS_TOT_Traqueo_53")</f>
        <v>Certificado_Aspiração_VAS_TOT_Traqueo_53</v>
      </c>
    </row>
    <row r="141" ht="22.5" customHeight="1">
      <c r="A141" s="12" t="s">
        <v>568</v>
      </c>
      <c r="B141" s="39" t="s">
        <v>569</v>
      </c>
      <c r="C141" s="14" t="s">
        <v>375</v>
      </c>
      <c r="D141" s="7" t="s">
        <v>169</v>
      </c>
      <c r="E141" s="8">
        <v>45825.0</v>
      </c>
      <c r="F141" s="15" t="s">
        <v>570</v>
      </c>
      <c r="G141" s="16" t="s">
        <v>571</v>
      </c>
      <c r="H141" s="17" t="str">
        <f>HYPERLINK("https://drive.google.com/file/d/1AwkSeehj5mFPjHs1TZYNZkJoRZ1T8VbZ/view?usp=drivesdk","Certificado_Aspiração_VAS_TOT_Traqueo_20")</f>
        <v>Certificado_Aspiração_VAS_TOT_Traqueo_20</v>
      </c>
    </row>
    <row r="142" ht="22.5" customHeight="1">
      <c r="A142" s="4" t="s">
        <v>572</v>
      </c>
      <c r="B142" s="38" t="s">
        <v>573</v>
      </c>
      <c r="C142" s="6" t="s">
        <v>375</v>
      </c>
      <c r="D142" s="7" t="s">
        <v>169</v>
      </c>
      <c r="E142" s="8">
        <v>45825.0</v>
      </c>
      <c r="F142" s="9" t="s">
        <v>574</v>
      </c>
      <c r="G142" s="10" t="s">
        <v>575</v>
      </c>
      <c r="H142" s="11" t="str">
        <f>HYPERLINK("https://drive.google.com/file/d/1tNzIpaB96s7KHgU-LB6YdWFXw2OGXMQ_/view?usp=drivesdk","Certificado_Aspiração_VAS_TOT_Traqueo_65")</f>
        <v>Certificado_Aspiração_VAS_TOT_Traqueo_65</v>
      </c>
    </row>
    <row r="143" ht="22.5" customHeight="1">
      <c r="A143" s="12" t="s">
        <v>576</v>
      </c>
      <c r="B143" s="39" t="s">
        <v>577</v>
      </c>
      <c r="C143" s="14" t="s">
        <v>375</v>
      </c>
      <c r="D143" s="7" t="s">
        <v>169</v>
      </c>
      <c r="E143" s="8">
        <v>45825.0</v>
      </c>
      <c r="F143" s="15" t="s">
        <v>578</v>
      </c>
      <c r="G143" s="16" t="s">
        <v>579</v>
      </c>
      <c r="H143" s="17" t="str">
        <f>HYPERLINK("https://drive.google.com/file/d/1axxnlUo_aOgWkEtO8FZ2tXcMr9ngAbbY/view?usp=drivesdk","Certificado_Aspiração_VAS_TOT_Traqueo_36")</f>
        <v>Certificado_Aspiração_VAS_TOT_Traqueo_36</v>
      </c>
    </row>
    <row r="144" ht="22.5" customHeight="1">
      <c r="A144" s="4" t="s">
        <v>580</v>
      </c>
      <c r="B144" s="38" t="s">
        <v>581</v>
      </c>
      <c r="C144" s="6" t="s">
        <v>375</v>
      </c>
      <c r="D144" s="7" t="s">
        <v>169</v>
      </c>
      <c r="E144" s="8">
        <v>45825.0</v>
      </c>
      <c r="F144" s="9" t="s">
        <v>582</v>
      </c>
      <c r="G144" s="10" t="s">
        <v>583</v>
      </c>
      <c r="H144" s="11" t="str">
        <f>HYPERLINK("https://drive.google.com/file/d/1MHWUKpePdpdUQ8rNkdFlNVQseqziH432/view?usp=drivesdk","Certificado_Aspiração_VAS_TOT_Traqueo_21")</f>
        <v>Certificado_Aspiração_VAS_TOT_Traqueo_21</v>
      </c>
    </row>
    <row r="145" ht="22.5" customHeight="1">
      <c r="A145" s="12" t="s">
        <v>584</v>
      </c>
      <c r="B145" s="39" t="s">
        <v>585</v>
      </c>
      <c r="C145" s="14" t="s">
        <v>375</v>
      </c>
      <c r="D145" s="7" t="s">
        <v>169</v>
      </c>
      <c r="E145" s="8">
        <v>45825.0</v>
      </c>
      <c r="F145" s="15" t="s">
        <v>586</v>
      </c>
      <c r="G145" s="16" t="s">
        <v>587</v>
      </c>
      <c r="H145" s="17" t="str">
        <f>HYPERLINK("https://drive.google.com/file/d/1vihkLpCQGKX7jgEPKscc_KKwLPOoV20V/view?usp=drivesdk","Certificado_Aspiração_VAS_TOT_Traqueo_37")</f>
        <v>Certificado_Aspiração_VAS_TOT_Traqueo_37</v>
      </c>
    </row>
    <row r="146" ht="22.5" customHeight="1">
      <c r="A146" s="4" t="s">
        <v>588</v>
      </c>
      <c r="B146" s="38" t="s">
        <v>589</v>
      </c>
      <c r="C146" s="6" t="s">
        <v>375</v>
      </c>
      <c r="D146" s="7" t="s">
        <v>169</v>
      </c>
      <c r="E146" s="8">
        <v>45825.0</v>
      </c>
      <c r="F146" s="9" t="s">
        <v>590</v>
      </c>
      <c r="G146" s="10" t="s">
        <v>591</v>
      </c>
      <c r="H146" s="11" t="str">
        <f>HYPERLINK("https://drive.google.com/file/d/1kOwmrtIa3G5fr435ffIO6TwJwvzgYQtw/view?usp=drivesdk","Certificado_Aspiração_VAS_TOT_Traqueo_54")</f>
        <v>Certificado_Aspiração_VAS_TOT_Traqueo_54</v>
      </c>
    </row>
    <row r="147" ht="22.5" customHeight="1">
      <c r="A147" s="12" t="s">
        <v>592</v>
      </c>
      <c r="B147" s="39" t="s">
        <v>593</v>
      </c>
      <c r="C147" s="14" t="s">
        <v>375</v>
      </c>
      <c r="D147" s="7" t="s">
        <v>169</v>
      </c>
      <c r="E147" s="8">
        <v>45825.0</v>
      </c>
      <c r="F147" s="15" t="s">
        <v>594</v>
      </c>
      <c r="G147" s="16" t="s">
        <v>595</v>
      </c>
      <c r="H147" s="17" t="str">
        <f>HYPERLINK("https://drive.google.com/file/d/1Nf4D6mNvp0qlieY3-4FxzqrypsJOIzbV/view?usp=drivesdk","Certificado_Aspiração_VAS_TOT_Traqueo_22")</f>
        <v>Certificado_Aspiração_VAS_TOT_Traqueo_22</v>
      </c>
    </row>
    <row r="148" ht="22.5" customHeight="1">
      <c r="A148" s="4" t="s">
        <v>596</v>
      </c>
      <c r="B148" s="38" t="s">
        <v>597</v>
      </c>
      <c r="C148" s="6" t="s">
        <v>375</v>
      </c>
      <c r="D148" s="7" t="s">
        <v>169</v>
      </c>
      <c r="E148" s="8">
        <v>45825.0</v>
      </c>
      <c r="F148" s="9" t="s">
        <v>598</v>
      </c>
      <c r="G148" s="10" t="s">
        <v>599</v>
      </c>
      <c r="H148" s="11" t="str">
        <f>HYPERLINK("https://drive.google.com/file/d/121hnbqfPhPECAI7T94OMyI_0fNh931Yo/view?usp=drivesdk","Certificado_Aspiração_VAS_TOT_Traqueo_38")</f>
        <v>Certificado_Aspiração_VAS_TOT_Traqueo_38</v>
      </c>
    </row>
    <row r="149" ht="22.5" customHeight="1">
      <c r="A149" s="12" t="s">
        <v>600</v>
      </c>
      <c r="B149" s="39" t="s">
        <v>601</v>
      </c>
      <c r="C149" s="14" t="s">
        <v>375</v>
      </c>
      <c r="D149" s="7" t="s">
        <v>169</v>
      </c>
      <c r="E149" s="8">
        <v>45825.0</v>
      </c>
      <c r="F149" s="15" t="s">
        <v>602</v>
      </c>
      <c r="G149" s="16" t="s">
        <v>603</v>
      </c>
      <c r="H149" s="17" t="str">
        <f>HYPERLINK("https://drive.google.com/file/d/1NbdO5wQ5YxTv-9gdfL4nDuQ-1GVB45Q2/view?usp=drivesdk","Certificado_Aspiração_VAS_TOT_Traqueo_39")</f>
        <v>Certificado_Aspiração_VAS_TOT_Traqueo_39</v>
      </c>
    </row>
    <row r="150" ht="22.5" customHeight="1">
      <c r="A150" s="4" t="s">
        <v>604</v>
      </c>
      <c r="B150" s="38" t="s">
        <v>605</v>
      </c>
      <c r="C150" s="6" t="s">
        <v>375</v>
      </c>
      <c r="D150" s="7" t="s">
        <v>169</v>
      </c>
      <c r="E150" s="8">
        <v>45825.0</v>
      </c>
      <c r="F150" s="9" t="s">
        <v>606</v>
      </c>
      <c r="G150" s="10" t="s">
        <v>607</v>
      </c>
      <c r="H150" s="11" t="str">
        <f>HYPERLINK("https://drive.google.com/file/d/1CVXMtnvaRbagkxqIlxjHJ-9kP3JK5UXq/view?usp=drivesdk","Certificado_Aspiração_VAS_TOT_Traqueo_55")</f>
        <v>Certificado_Aspiração_VAS_TOT_Traqueo_55</v>
      </c>
    </row>
    <row r="151" ht="22.5" customHeight="1">
      <c r="A151" s="12" t="s">
        <v>608</v>
      </c>
      <c r="B151" s="39" t="s">
        <v>609</v>
      </c>
      <c r="C151" s="14" t="s">
        <v>375</v>
      </c>
      <c r="D151" s="7" t="s">
        <v>169</v>
      </c>
      <c r="E151" s="8">
        <v>45825.0</v>
      </c>
      <c r="F151" s="15" t="s">
        <v>610</v>
      </c>
      <c r="G151" s="16" t="s">
        <v>611</v>
      </c>
      <c r="H151" s="17" t="str">
        <f>HYPERLINK("https://drive.google.com/file/d/1I5rHCcUBmNHjpnJguPIaZbUEqt1RWkTI/view?usp=drivesdk","Certificado_Aspiração_VAS_TOT_Traqueo_40")</f>
        <v>Certificado_Aspiração_VAS_TOT_Traqueo_40</v>
      </c>
    </row>
    <row r="152" ht="22.5" customHeight="1">
      <c r="A152" s="4" t="s">
        <v>612</v>
      </c>
      <c r="B152" s="38" t="s">
        <v>613</v>
      </c>
      <c r="C152" s="6" t="s">
        <v>375</v>
      </c>
      <c r="D152" s="7" t="s">
        <v>169</v>
      </c>
      <c r="E152" s="8">
        <v>45825.0</v>
      </c>
      <c r="F152" s="9" t="s">
        <v>614</v>
      </c>
      <c r="G152" s="10" t="s">
        <v>615</v>
      </c>
      <c r="H152" s="11" t="str">
        <f>HYPERLINK("https://drive.google.com/file/d/1OAwNYtP3vpcgItptbb2LYzYZOqpaMABh/view?usp=drivesdk","Certificado_Aspiração_VAS_TOT_Traqueo_41")</f>
        <v>Certificado_Aspiração_VAS_TOT_Traqueo_41</v>
      </c>
    </row>
    <row r="153" ht="22.5" customHeight="1">
      <c r="A153" s="12" t="s">
        <v>616</v>
      </c>
      <c r="B153" s="39" t="s">
        <v>617</v>
      </c>
      <c r="C153" s="14" t="s">
        <v>375</v>
      </c>
      <c r="D153" s="7" t="s">
        <v>169</v>
      </c>
      <c r="E153" s="8">
        <v>45825.0</v>
      </c>
      <c r="F153" s="15" t="s">
        <v>618</v>
      </c>
      <c r="G153" s="16" t="s">
        <v>619</v>
      </c>
      <c r="H153" s="17" t="str">
        <f>HYPERLINK("https://drive.google.com/file/d/1_UMIv7duslGOYUUXDIQm3wC0ucnGipg6/view?usp=drivesdk","Certificado_Aspiração_VAS_TOT_Traqueo_23")</f>
        <v>Certificado_Aspiração_VAS_TOT_Traqueo_23</v>
      </c>
    </row>
    <row r="154" ht="22.5" customHeight="1">
      <c r="A154" s="4" t="s">
        <v>620</v>
      </c>
      <c r="B154" s="38" t="s">
        <v>621</v>
      </c>
      <c r="C154" s="6" t="s">
        <v>375</v>
      </c>
      <c r="D154" s="7" t="s">
        <v>169</v>
      </c>
      <c r="E154" s="8">
        <v>45825.0</v>
      </c>
      <c r="F154" s="9" t="s">
        <v>622</v>
      </c>
      <c r="G154" s="10" t="s">
        <v>623</v>
      </c>
      <c r="H154" s="11" t="str">
        <f>HYPERLINK("https://drive.google.com/file/d/1jTbhzRnt06UOM0Z5WiLQshQ0iZrK_j-V/view?usp=drivesdk","Certificado_Aspiração_VAS_TOT_Traqueo_24")</f>
        <v>Certificado_Aspiração_VAS_TOT_Traqueo_24</v>
      </c>
    </row>
    <row r="155" ht="22.5" customHeight="1">
      <c r="A155" s="12" t="s">
        <v>624</v>
      </c>
      <c r="B155" s="39" t="s">
        <v>625</v>
      </c>
      <c r="C155" s="14" t="s">
        <v>375</v>
      </c>
      <c r="D155" s="7" t="s">
        <v>169</v>
      </c>
      <c r="E155" s="8">
        <v>45825.0</v>
      </c>
      <c r="F155" s="15" t="s">
        <v>626</v>
      </c>
      <c r="G155" s="16" t="s">
        <v>627</v>
      </c>
      <c r="H155" s="17" t="str">
        <f>HYPERLINK("https://drive.google.com/file/d/1Oibhpm3EUNQlYs3zcg9kD5PE8HwF28qP/view?usp=drivesdk","Certificado_Aspiração_VAS_TOT_Traqueo_25")</f>
        <v>Certificado_Aspiração_VAS_TOT_Traqueo_25</v>
      </c>
    </row>
    <row r="156" ht="22.5" customHeight="1">
      <c r="A156" s="4" t="s">
        <v>628</v>
      </c>
      <c r="B156" s="38" t="s">
        <v>629</v>
      </c>
      <c r="C156" s="6" t="s">
        <v>375</v>
      </c>
      <c r="D156" s="7" t="s">
        <v>169</v>
      </c>
      <c r="E156" s="8">
        <v>45825.0</v>
      </c>
      <c r="F156" s="9" t="s">
        <v>630</v>
      </c>
      <c r="G156" s="10" t="s">
        <v>631</v>
      </c>
      <c r="H156" s="11" t="str">
        <f>HYPERLINK("https://drive.google.com/file/d/1sGIrbJ9HqxzMCcVU5T8iwiEmCquIFVj9/view?usp=drivesdk","Certificado_Aspiração_VAS_TOT_Traqueo_66")</f>
        <v>Certificado_Aspiração_VAS_TOT_Traqueo_66</v>
      </c>
    </row>
    <row r="157" ht="22.5" customHeight="1">
      <c r="A157" s="12" t="s">
        <v>632</v>
      </c>
      <c r="B157" s="39" t="s">
        <v>633</v>
      </c>
      <c r="C157" s="14" t="s">
        <v>375</v>
      </c>
      <c r="D157" s="7" t="s">
        <v>169</v>
      </c>
      <c r="E157" s="8">
        <v>45825.0</v>
      </c>
      <c r="F157" s="15" t="s">
        <v>634</v>
      </c>
      <c r="G157" s="16" t="s">
        <v>635</v>
      </c>
      <c r="H157" s="17" t="str">
        <f>HYPERLINK("https://drive.google.com/file/d/1Z8664OMiU_9sR5Gn3VphQSUk8nfzbWoJ/view?usp=drivesdk","Certificado_Aspiração_VAS_TOT_Traqueo_56")</f>
        <v>Certificado_Aspiração_VAS_TOT_Traqueo_56</v>
      </c>
    </row>
    <row r="158" ht="22.5" customHeight="1">
      <c r="A158" s="18" t="s">
        <v>636</v>
      </c>
      <c r="B158" s="40" t="s">
        <v>637</v>
      </c>
      <c r="C158" s="20" t="s">
        <v>375</v>
      </c>
      <c r="D158" s="21" t="s">
        <v>169</v>
      </c>
      <c r="E158" s="22">
        <v>45825.0</v>
      </c>
      <c r="F158" s="23" t="s">
        <v>638</v>
      </c>
      <c r="G158" s="24" t="s">
        <v>639</v>
      </c>
      <c r="H158" s="25" t="str">
        <f>HYPERLINK("https://drive.google.com/file/d/1eahqxBHlbw84qoOsZvLXeHO65MUOvQdZ/view?usp=drivesdk","Certificado_Aspiração_VAS_TOT_Traqueo_67")</f>
        <v>Certificado_Aspiração_VAS_TOT_Traqueo_67</v>
      </c>
    </row>
    <row r="159" ht="22.5" customHeight="1">
      <c r="A159" s="4" t="s">
        <v>640</v>
      </c>
      <c r="B159" s="38" t="s">
        <v>383</v>
      </c>
      <c r="C159" s="6" t="s">
        <v>641</v>
      </c>
      <c r="D159" s="4" t="s">
        <v>169</v>
      </c>
      <c r="E159" s="8">
        <v>45849.0</v>
      </c>
      <c r="F159" s="9" t="s">
        <v>642</v>
      </c>
      <c r="G159" s="10" t="s">
        <v>643</v>
      </c>
      <c r="H159" s="11" t="str">
        <f>HYPERLINK("https://drive.google.com/file/d/1mEtBsgl-baJWJOlHoRpVKqd46JEowklK/view?usp=drivesdk","Certificado_Capacitação_DNV_CERT-20251006-170722-RLKW")</f>
        <v>Certificado_Capacitação_DNV_CERT-20251006-170722-RLKW</v>
      </c>
    </row>
    <row r="160" ht="22.5" customHeight="1">
      <c r="A160" s="12" t="s">
        <v>644</v>
      </c>
      <c r="B160" s="39" t="s">
        <v>645</v>
      </c>
      <c r="C160" s="14" t="s">
        <v>641</v>
      </c>
      <c r="D160" s="12" t="s">
        <v>169</v>
      </c>
      <c r="E160" s="8">
        <v>45849.0</v>
      </c>
      <c r="F160" s="15" t="s">
        <v>646</v>
      </c>
      <c r="G160" s="16" t="s">
        <v>647</v>
      </c>
      <c r="H160" s="17" t="str">
        <f>HYPERLINK("https://drive.google.com/file/d/1VsqpwZQkbAMMgtHr1zey0mX8EnbP1m7j/view?usp=drivesdk","Certificado_Capacitação_DNV_CERT-20251006-170722-5OPP")</f>
        <v>Certificado_Capacitação_DNV_CERT-20251006-170722-5OPP</v>
      </c>
    </row>
    <row r="161" ht="22.5" customHeight="1">
      <c r="A161" s="4" t="s">
        <v>648</v>
      </c>
      <c r="B161" s="38" t="s">
        <v>649</v>
      </c>
      <c r="C161" s="6" t="s">
        <v>641</v>
      </c>
      <c r="D161" s="4" t="s">
        <v>169</v>
      </c>
      <c r="E161" s="8">
        <v>45849.0</v>
      </c>
      <c r="F161" s="9" t="s">
        <v>650</v>
      </c>
      <c r="G161" s="10" t="s">
        <v>651</v>
      </c>
      <c r="H161" s="11" t="str">
        <f>HYPERLINK("https://drive.google.com/file/d/1EtIYofS0dwExJu_xpTdF--MKC7QfbBse/view?usp=drivesdk","Certificado_Capacitação_DNV_CERT-20251006-170722-HMAI")</f>
        <v>Certificado_Capacitação_DNV_CERT-20251006-170722-HMAI</v>
      </c>
    </row>
    <row r="162" ht="22.5" customHeight="1">
      <c r="A162" s="12" t="s">
        <v>652</v>
      </c>
      <c r="B162" s="39" t="s">
        <v>653</v>
      </c>
      <c r="C162" s="14" t="s">
        <v>641</v>
      </c>
      <c r="D162" s="12" t="s">
        <v>169</v>
      </c>
      <c r="E162" s="8">
        <v>45849.0</v>
      </c>
      <c r="F162" s="15" t="s">
        <v>654</v>
      </c>
      <c r="G162" s="16" t="s">
        <v>655</v>
      </c>
      <c r="H162" s="17" t="str">
        <f>HYPERLINK("https://drive.google.com/file/d/1_6ClfmBDe58XfeqNgQ7KW76rfpR6i6J3/view?usp=drivesdk","Certificado_Capacitação_DNV_CERT-20251006-170722-GMNR")</f>
        <v>Certificado_Capacitação_DNV_CERT-20251006-170722-GMNR</v>
      </c>
    </row>
    <row r="163" ht="22.5" customHeight="1">
      <c r="A163" s="31" t="s">
        <v>656</v>
      </c>
      <c r="B163" s="41" t="s">
        <v>657</v>
      </c>
      <c r="C163" s="33" t="s">
        <v>641</v>
      </c>
      <c r="D163" s="31" t="s">
        <v>169</v>
      </c>
      <c r="E163" s="22">
        <v>45849.0</v>
      </c>
      <c r="F163" s="34" t="s">
        <v>658</v>
      </c>
      <c r="G163" s="35" t="s">
        <v>659</v>
      </c>
      <c r="H163" s="36" t="str">
        <f>HYPERLINK("https://drive.google.com/file/d/1qM2BITOjXesB20TakuYCr7DBAM7Ia5p3/view?usp=drivesdk","Certificado_Capacitação_DNV_CERT-20251006-170722-7RNO")</f>
        <v>Certificado_Capacitação_DNV_CERT-20251006-170722-7RNO</v>
      </c>
    </row>
    <row r="164" ht="22.5" customHeight="1">
      <c r="A164" s="42" t="s">
        <v>660</v>
      </c>
      <c r="B164" s="43" t="s">
        <v>661</v>
      </c>
      <c r="C164" s="6" t="s">
        <v>662</v>
      </c>
      <c r="D164" s="4" t="s">
        <v>663</v>
      </c>
      <c r="E164" s="8">
        <v>45854.0</v>
      </c>
      <c r="F164" s="9" t="s">
        <v>664</v>
      </c>
      <c r="G164" s="10" t="s">
        <v>665</v>
      </c>
      <c r="H164" s="11" t="str">
        <f>HYPERLINK("https://drive.google.com/file/d/1F4RJeOm42qnwF1kZ03VWdpKJfMTjfDpJ/view?usp=drivesdk","Certificado_Projeto_Saúde_Nossas_Mãos_UTICERT-20251006-174758-1IFY")</f>
        <v>Certificado_Projeto_Saúde_Nossas_Mãos_UTICERT-20251006-174758-1IFY</v>
      </c>
    </row>
    <row r="165" ht="22.5" customHeight="1">
      <c r="A165" s="44" t="s">
        <v>666</v>
      </c>
      <c r="B165" s="45" t="s">
        <v>667</v>
      </c>
      <c r="C165" s="14" t="s">
        <v>662</v>
      </c>
      <c r="D165" s="12" t="s">
        <v>663</v>
      </c>
      <c r="E165" s="8">
        <v>45854.0</v>
      </c>
      <c r="F165" s="15" t="s">
        <v>668</v>
      </c>
      <c r="G165" s="16" t="s">
        <v>669</v>
      </c>
      <c r="H165" s="17" t="str">
        <f>HYPERLINK("https://drive.google.com/file/d/1ExrW7kYRPAPKEZpYxJw9JEOt2Z9dYKdt/view?usp=drivesdk","Certificado_Projeto_Saúde_Nossas_Mãos_UTICERT-20251006-174758-WKXI")</f>
        <v>Certificado_Projeto_Saúde_Nossas_Mãos_UTICERT-20251006-174758-WKXI</v>
      </c>
    </row>
    <row r="166" ht="22.5" customHeight="1">
      <c r="A166" s="42" t="s">
        <v>670</v>
      </c>
      <c r="B166" s="43" t="s">
        <v>671</v>
      </c>
      <c r="C166" s="6" t="s">
        <v>662</v>
      </c>
      <c r="D166" s="4" t="s">
        <v>663</v>
      </c>
      <c r="E166" s="8">
        <v>45854.0</v>
      </c>
      <c r="F166" s="9" t="s">
        <v>672</v>
      </c>
      <c r="G166" s="10" t="s">
        <v>673</v>
      </c>
      <c r="H166" s="11" t="str">
        <f>HYPERLINK("https://drive.google.com/file/d/1qwS2oQjkeII8qGUhbuF6xQQKYl72E_OW/view?usp=drivesdk","Certificado_Projeto_Saúde_Nossas_Mãos_UTICERT-20251006-174758-KBYZ")</f>
        <v>Certificado_Projeto_Saúde_Nossas_Mãos_UTICERT-20251006-174758-KBYZ</v>
      </c>
    </row>
    <row r="167" ht="22.5" customHeight="1">
      <c r="A167" s="44" t="s">
        <v>674</v>
      </c>
      <c r="B167" s="45" t="s">
        <v>675</v>
      </c>
      <c r="C167" s="14" t="s">
        <v>662</v>
      </c>
      <c r="D167" s="12" t="s">
        <v>663</v>
      </c>
      <c r="E167" s="8">
        <v>45854.0</v>
      </c>
      <c r="F167" s="15" t="s">
        <v>676</v>
      </c>
      <c r="G167" s="16" t="s">
        <v>677</v>
      </c>
      <c r="H167" s="17" t="str">
        <f>HYPERLINK("https://drive.google.com/file/d/1CzspbPkALJoF1UGDOPulUFmDBSTXhG-h/view?usp=drivesdk","Certificado_Projeto_Saúde_Nossas_Mãos_UTICERT-20251006-174758-HB9Y")</f>
        <v>Certificado_Projeto_Saúde_Nossas_Mãos_UTICERT-20251006-174758-HB9Y</v>
      </c>
    </row>
    <row r="168" ht="22.5" customHeight="1">
      <c r="A168" s="42" t="s">
        <v>678</v>
      </c>
      <c r="B168" s="43" t="s">
        <v>679</v>
      </c>
      <c r="C168" s="6" t="s">
        <v>662</v>
      </c>
      <c r="D168" s="4" t="s">
        <v>663</v>
      </c>
      <c r="E168" s="8">
        <v>45854.0</v>
      </c>
      <c r="F168" s="9" t="s">
        <v>680</v>
      </c>
      <c r="G168" s="10" t="s">
        <v>681</v>
      </c>
      <c r="H168" s="11" t="str">
        <f>HYPERLINK("https://drive.google.com/file/d/1-ljZFOW2GG4GlZdaS9hixLqQjk7R_Cd7/view?usp=drivesdk","Certificado_Projeto_Saúde_Nossas_Mãos_UTICERT-20251006-174758-NSGB")</f>
        <v>Certificado_Projeto_Saúde_Nossas_Mãos_UTICERT-20251006-174758-NSGB</v>
      </c>
    </row>
    <row r="169" ht="22.5" customHeight="1">
      <c r="A169" s="44" t="s">
        <v>682</v>
      </c>
      <c r="B169" s="45" t="s">
        <v>683</v>
      </c>
      <c r="C169" s="14" t="s">
        <v>662</v>
      </c>
      <c r="D169" s="12" t="s">
        <v>663</v>
      </c>
      <c r="E169" s="8">
        <v>45854.0</v>
      </c>
      <c r="F169" s="15" t="s">
        <v>684</v>
      </c>
      <c r="G169" s="16" t="s">
        <v>685</v>
      </c>
      <c r="H169" s="17" t="str">
        <f>HYPERLINK("https://drive.google.com/file/d/1ExZHqlS7yLL2ewGsRUEsfvhSGU3fiDRP/view?usp=drivesdk","Certificado_Projeto_Saúde_Nossas_Mãos_UTICERT-20251006-174758-8E8Q")</f>
        <v>Certificado_Projeto_Saúde_Nossas_Mãos_UTICERT-20251006-174758-8E8Q</v>
      </c>
    </row>
    <row r="170" ht="22.5" customHeight="1">
      <c r="A170" s="42" t="s">
        <v>686</v>
      </c>
      <c r="B170" s="43" t="s">
        <v>687</v>
      </c>
      <c r="C170" s="6" t="s">
        <v>662</v>
      </c>
      <c r="D170" s="4" t="s">
        <v>663</v>
      </c>
      <c r="E170" s="8">
        <v>45854.0</v>
      </c>
      <c r="F170" s="9" t="s">
        <v>688</v>
      </c>
      <c r="G170" s="10" t="s">
        <v>689</v>
      </c>
      <c r="H170" s="11" t="str">
        <f>HYPERLINK("https://drive.google.com/file/d/1mQk0LmpAXquJAqqogU-gbwBj1atcOuFY/view?usp=drivesdk","Certificado_Projeto_Saúde_Nossas_Mãos_UTICERT-20251006-174758-Q5D7")</f>
        <v>Certificado_Projeto_Saúde_Nossas_Mãos_UTICERT-20251006-174758-Q5D7</v>
      </c>
    </row>
    <row r="171" ht="22.5" customHeight="1">
      <c r="A171" s="46" t="s">
        <v>690</v>
      </c>
      <c r="B171" s="47" t="s">
        <v>691</v>
      </c>
      <c r="C171" s="48" t="s">
        <v>662</v>
      </c>
      <c r="D171" s="49" t="s">
        <v>663</v>
      </c>
      <c r="E171" s="22">
        <v>45854.0</v>
      </c>
      <c r="F171" s="28" t="s">
        <v>692</v>
      </c>
      <c r="G171" s="29" t="s">
        <v>693</v>
      </c>
      <c r="H171" s="30" t="str">
        <f>HYPERLINK("https://drive.google.com/file/d/1OUCTLYJQnLFgRM6dXiwjh32XV6YQlgXR/view?usp=drivesdk","Certificado_Projeto_Saúde_Nossas_Mãos_UTICERT-20251006-174758-QWN7")</f>
        <v>Certificado_Projeto_Saúde_Nossas_Mãos_UTICERT-20251006-174758-QWN7</v>
      </c>
    </row>
    <row r="172" ht="22.5" customHeight="1">
      <c r="A172" s="42" t="s">
        <v>694</v>
      </c>
      <c r="B172" s="43" t="s">
        <v>695</v>
      </c>
      <c r="C172" s="6" t="s">
        <v>696</v>
      </c>
      <c r="D172" s="4" t="s">
        <v>169</v>
      </c>
      <c r="E172" s="8">
        <v>45884.0</v>
      </c>
      <c r="F172" s="9" t="s">
        <v>697</v>
      </c>
      <c r="G172" s="10" t="s">
        <v>698</v>
      </c>
      <c r="H172" s="11" t="str">
        <f>HYPERLINK("https://drive.google.com/file/d/1YcqlAAGY0E_4MdT6NuCXHpGnXL0W95Nn/view?usp=drivesdk","Certif_Capacitação_Prevenção_Quedas_CERT-20251006-182550-OJT5")</f>
        <v>Certif_Capacitação_Prevenção_Quedas_CERT-20251006-182550-OJT5</v>
      </c>
    </row>
    <row r="173" ht="22.5" customHeight="1">
      <c r="A173" s="44" t="s">
        <v>699</v>
      </c>
      <c r="B173" s="45" t="s">
        <v>700</v>
      </c>
      <c r="C173" s="14" t="s">
        <v>696</v>
      </c>
      <c r="D173" s="12" t="s">
        <v>169</v>
      </c>
      <c r="E173" s="8">
        <v>45884.0</v>
      </c>
      <c r="F173" s="15" t="s">
        <v>701</v>
      </c>
      <c r="G173" s="16" t="s">
        <v>702</v>
      </c>
      <c r="H173" s="17" t="str">
        <f>HYPERLINK("https://drive.google.com/file/d/1nINeeQKAZucPGwayofBaXV204Qe8UBWG/view?usp=drivesdk","Certif_Capacitação_Prevenção_Quedas_CERT-20251006-182550-3PCT")</f>
        <v>Certif_Capacitação_Prevenção_Quedas_CERT-20251006-182550-3PCT</v>
      </c>
    </row>
    <row r="174" ht="22.5" customHeight="1">
      <c r="A174" s="42" t="s">
        <v>703</v>
      </c>
      <c r="B174" s="43" t="s">
        <v>704</v>
      </c>
      <c r="C174" s="6" t="s">
        <v>696</v>
      </c>
      <c r="D174" s="4" t="s">
        <v>169</v>
      </c>
      <c r="E174" s="8">
        <v>45884.0</v>
      </c>
      <c r="F174" s="9" t="s">
        <v>705</v>
      </c>
      <c r="G174" s="10" t="s">
        <v>706</v>
      </c>
      <c r="H174" s="11" t="str">
        <f>HYPERLINK("https://drive.google.com/file/d/1W4zeUOSmOSdIvAgpPrLUyhSqAoo0NZXv/view?usp=drivesdk","Certif_Capacitação_Prevenção_Quedas_CERT-20251006-182550-MDLE")</f>
        <v>Certif_Capacitação_Prevenção_Quedas_CERT-20251006-182550-MDLE</v>
      </c>
    </row>
    <row r="175" ht="22.5" customHeight="1">
      <c r="A175" s="44" t="s">
        <v>707</v>
      </c>
      <c r="B175" s="45" t="s">
        <v>708</v>
      </c>
      <c r="C175" s="14" t="s">
        <v>696</v>
      </c>
      <c r="D175" s="12" t="s">
        <v>169</v>
      </c>
      <c r="E175" s="8">
        <v>45884.0</v>
      </c>
      <c r="F175" s="15" t="s">
        <v>709</v>
      </c>
      <c r="G175" s="16" t="s">
        <v>710</v>
      </c>
      <c r="H175" s="17" t="str">
        <f>HYPERLINK("https://drive.google.com/file/d/1UNL8N7Wjl3U12ctFVYe2Go0cI-LVi1YQ/view?usp=drivesdk","Certif_Capacitação_Prevenção_Quedas_CERT-20251006-182550-9CQG")</f>
        <v>Certif_Capacitação_Prevenção_Quedas_CERT-20251006-182550-9CQG</v>
      </c>
    </row>
    <row r="176" ht="22.5" customHeight="1">
      <c r="A176" s="42" t="s">
        <v>711</v>
      </c>
      <c r="B176" s="43" t="s">
        <v>712</v>
      </c>
      <c r="C176" s="6" t="s">
        <v>696</v>
      </c>
      <c r="D176" s="4" t="s">
        <v>169</v>
      </c>
      <c r="E176" s="8">
        <v>45884.0</v>
      </c>
      <c r="F176" s="9" t="s">
        <v>713</v>
      </c>
      <c r="G176" s="10" t="s">
        <v>714</v>
      </c>
      <c r="H176" s="11" t="str">
        <f>HYPERLINK("https://drive.google.com/file/d/18cJp2dRTQ87RhX1qbdqw8cmnDaEVXUgR/view?usp=drivesdk","Certif_Capacitação_Prevenção_Quedas_CERT-20251006-182550-N6EJ")</f>
        <v>Certif_Capacitação_Prevenção_Quedas_CERT-20251006-182550-N6EJ</v>
      </c>
    </row>
    <row r="177" ht="22.5" customHeight="1">
      <c r="A177" s="44" t="s">
        <v>715</v>
      </c>
      <c r="B177" s="45" t="s">
        <v>716</v>
      </c>
      <c r="C177" s="14" t="s">
        <v>696</v>
      </c>
      <c r="D177" s="12" t="s">
        <v>169</v>
      </c>
      <c r="E177" s="8">
        <v>45884.0</v>
      </c>
      <c r="F177" s="15" t="s">
        <v>717</v>
      </c>
      <c r="G177" s="16" t="s">
        <v>718</v>
      </c>
      <c r="H177" s="17" t="str">
        <f>HYPERLINK("https://drive.google.com/file/d/1pG-qJ-WU9bEaDSW8QGZd0fgFx69qnTzO/view?usp=drivesdk","Certif_Capacitação_Prevenção_Quedas_CERT-20251006-182550-3Z87")</f>
        <v>Certif_Capacitação_Prevenção_Quedas_CERT-20251006-182550-3Z87</v>
      </c>
    </row>
    <row r="178" ht="22.5" customHeight="1">
      <c r="A178" s="42" t="s">
        <v>719</v>
      </c>
      <c r="B178" s="43" t="s">
        <v>434</v>
      </c>
      <c r="C178" s="6" t="s">
        <v>696</v>
      </c>
      <c r="D178" s="4" t="s">
        <v>169</v>
      </c>
      <c r="E178" s="8">
        <v>45884.0</v>
      </c>
      <c r="F178" s="9" t="s">
        <v>720</v>
      </c>
      <c r="G178" s="10" t="s">
        <v>721</v>
      </c>
      <c r="H178" s="11" t="str">
        <f>HYPERLINK("https://drive.google.com/file/d/1QnGnK7VkuzUDf4XNNj9L0OZPI7qItg4t/view?usp=drivesdk","Certif_Capacitação_Prevenção_Quedas_CERT-20251006-182550-10N4")</f>
        <v>Certif_Capacitação_Prevenção_Quedas_CERT-20251006-182550-10N4</v>
      </c>
    </row>
    <row r="179" ht="22.5" customHeight="1">
      <c r="A179" s="44" t="s">
        <v>722</v>
      </c>
      <c r="B179" s="45" t="s">
        <v>723</v>
      </c>
      <c r="C179" s="14" t="s">
        <v>696</v>
      </c>
      <c r="D179" s="12" t="s">
        <v>169</v>
      </c>
      <c r="E179" s="8">
        <v>45884.0</v>
      </c>
      <c r="F179" s="15" t="s">
        <v>724</v>
      </c>
      <c r="G179" s="16" t="s">
        <v>725</v>
      </c>
      <c r="H179" s="17" t="str">
        <f>HYPERLINK("https://drive.google.com/file/d/1t6R8tT7kZUEYecZFRhA_yNY55lYUS1Ti/view?usp=drivesdk","Certif_Capacitação_Prevenção_Quedas_CERT-20251006-182550-QACZ")</f>
        <v>Certif_Capacitação_Prevenção_Quedas_CERT-20251006-182550-QACZ</v>
      </c>
    </row>
    <row r="180" ht="22.5" customHeight="1">
      <c r="A180" s="4" t="s">
        <v>726</v>
      </c>
      <c r="B180" s="5" t="s">
        <v>671</v>
      </c>
      <c r="C180" s="6" t="s">
        <v>696</v>
      </c>
      <c r="D180" s="4" t="s">
        <v>169</v>
      </c>
      <c r="E180" s="8">
        <v>45884.0</v>
      </c>
      <c r="F180" s="9" t="s">
        <v>727</v>
      </c>
      <c r="G180" s="10" t="s">
        <v>728</v>
      </c>
      <c r="H180" s="11" t="str">
        <f>HYPERLINK("https://drive.google.com/file/d/17oz6k1qejBSpyQ47F7m6WqoK3c3LRon-/view?usp=drivesdk","Certif_Capacitação_Prevenção_Quedas_CERT-20251006-182550-XRQ9")</f>
        <v>Certif_Capacitação_Prevenção_Quedas_CERT-20251006-182550-XRQ9</v>
      </c>
    </row>
    <row r="181" ht="22.5" customHeight="1">
      <c r="A181" s="12" t="s">
        <v>729</v>
      </c>
      <c r="B181" s="13" t="s">
        <v>730</v>
      </c>
      <c r="C181" s="14" t="s">
        <v>696</v>
      </c>
      <c r="D181" s="12" t="s">
        <v>169</v>
      </c>
      <c r="E181" s="8">
        <v>45884.0</v>
      </c>
      <c r="F181" s="15" t="s">
        <v>731</v>
      </c>
      <c r="G181" s="16" t="s">
        <v>732</v>
      </c>
      <c r="H181" s="17" t="str">
        <f>HYPERLINK("https://drive.google.com/file/d/1ziIJl7AtNETMYDcl_c5U1RrXQoKwGur-/view?usp=drivesdk","Certif_Capacitação_Prevenção_Quedas_CERT-20251006-182550-639J")</f>
        <v>Certif_Capacitação_Prevenção_Quedas_CERT-20251006-182550-639J</v>
      </c>
    </row>
    <row r="182" ht="22.5" customHeight="1">
      <c r="A182" s="4" t="s">
        <v>733</v>
      </c>
      <c r="B182" s="5" t="s">
        <v>450</v>
      </c>
      <c r="C182" s="6" t="s">
        <v>696</v>
      </c>
      <c r="D182" s="4" t="s">
        <v>169</v>
      </c>
      <c r="E182" s="8">
        <v>45884.0</v>
      </c>
      <c r="F182" s="9" t="s">
        <v>734</v>
      </c>
      <c r="G182" s="10" t="s">
        <v>735</v>
      </c>
      <c r="H182" s="11" t="str">
        <f>HYPERLINK("https://drive.google.com/file/d/1XbzLcKRPjA67HCEtxgq3rnoldWMcRI6h/view?usp=drivesdk","Certif_Capacitação_Prevenção_Quedas_CERT-20251006-182550-J3AT")</f>
        <v>Certif_Capacitação_Prevenção_Quedas_CERT-20251006-182550-J3AT</v>
      </c>
    </row>
    <row r="183" ht="22.5" customHeight="1">
      <c r="A183" s="12" t="s">
        <v>736</v>
      </c>
      <c r="B183" s="13" t="s">
        <v>737</v>
      </c>
      <c r="C183" s="14" t="s">
        <v>696</v>
      </c>
      <c r="D183" s="12" t="s">
        <v>169</v>
      </c>
      <c r="E183" s="8">
        <v>45884.0</v>
      </c>
      <c r="F183" s="15" t="s">
        <v>738</v>
      </c>
      <c r="G183" s="16" t="s">
        <v>739</v>
      </c>
      <c r="H183" s="17" t="str">
        <f>HYPERLINK("https://drive.google.com/file/d/152vJ5h5d27iGhbs6jd9ImZS1_11F5aef/view?usp=drivesdk","Certif_Capacitação_Prevenção_Quedas_CERT-20251006-182550-8QHK")</f>
        <v>Certif_Capacitação_Prevenção_Quedas_CERT-20251006-182550-8QHK</v>
      </c>
    </row>
    <row r="184" ht="22.5" customHeight="1">
      <c r="A184" s="4" t="s">
        <v>740</v>
      </c>
      <c r="B184" s="5" t="s">
        <v>741</v>
      </c>
      <c r="C184" s="6" t="s">
        <v>696</v>
      </c>
      <c r="D184" s="4" t="s">
        <v>169</v>
      </c>
      <c r="E184" s="8">
        <v>45884.0</v>
      </c>
      <c r="F184" s="9" t="s">
        <v>742</v>
      </c>
      <c r="G184" s="10" t="s">
        <v>743</v>
      </c>
      <c r="H184" s="11" t="str">
        <f>HYPERLINK("https://drive.google.com/file/d/1LHXlUSf77tUCSqEYnsq6IMrwYUHN_Cm3/view?usp=drivesdk","Certif_Capacitação_Prevenção_Quedas_CERT-20251006-182550-LE1U")</f>
        <v>Certif_Capacitação_Prevenção_Quedas_CERT-20251006-182550-LE1U</v>
      </c>
    </row>
    <row r="185" ht="22.5" customHeight="1">
      <c r="A185" s="12" t="s">
        <v>744</v>
      </c>
      <c r="B185" s="13" t="s">
        <v>745</v>
      </c>
      <c r="C185" s="14" t="s">
        <v>696</v>
      </c>
      <c r="D185" s="12" t="s">
        <v>169</v>
      </c>
      <c r="E185" s="8">
        <v>45884.0</v>
      </c>
      <c r="F185" s="15" t="s">
        <v>746</v>
      </c>
      <c r="G185" s="16" t="s">
        <v>747</v>
      </c>
      <c r="H185" s="17" t="str">
        <f>HYPERLINK("https://drive.google.com/file/d/1Q11bwygcNAU8omFt7riMVu2-edzL1etL/view?usp=drivesdk","Certif_Capacitação_Prevenção_Quedas_CERT-20251006-182550-ZU8S")</f>
        <v>Certif_Capacitação_Prevenção_Quedas_CERT-20251006-182550-ZU8S</v>
      </c>
    </row>
    <row r="186" ht="22.5" customHeight="1">
      <c r="A186" s="4" t="s">
        <v>748</v>
      </c>
      <c r="B186" s="5" t="s">
        <v>749</v>
      </c>
      <c r="C186" s="6" t="s">
        <v>696</v>
      </c>
      <c r="D186" s="4" t="s">
        <v>169</v>
      </c>
      <c r="E186" s="8">
        <v>45884.0</v>
      </c>
      <c r="F186" s="9" t="s">
        <v>750</v>
      </c>
      <c r="G186" s="10" t="s">
        <v>751</v>
      </c>
      <c r="H186" s="11" t="str">
        <f>HYPERLINK("https://drive.google.com/file/d/1eZRL-tD4JRPa_vUOUw-y-Rb-4U4dfsHu/view?usp=drivesdk","Certif_Capacitação_Prevenção_Quedas_CERT-20251006-182550-MEPF")</f>
        <v>Certif_Capacitação_Prevenção_Quedas_CERT-20251006-182550-MEPF</v>
      </c>
    </row>
    <row r="187" ht="22.5" customHeight="1">
      <c r="A187" s="12" t="s">
        <v>752</v>
      </c>
      <c r="B187" s="13" t="s">
        <v>683</v>
      </c>
      <c r="C187" s="14" t="s">
        <v>696</v>
      </c>
      <c r="D187" s="12" t="s">
        <v>169</v>
      </c>
      <c r="E187" s="8">
        <v>45884.0</v>
      </c>
      <c r="F187" s="15" t="s">
        <v>753</v>
      </c>
      <c r="G187" s="16" t="s">
        <v>754</v>
      </c>
      <c r="H187" s="17" t="str">
        <f>HYPERLINK("https://drive.google.com/file/d/10BJEYfG1brAnkDqyu8fUiXyfvtMGHFuy/view?usp=drivesdk","Certif_Capacitação_Prevenção_Quedas_CERT-20251006-182550-1F0O")</f>
        <v>Certif_Capacitação_Prevenção_Quedas_CERT-20251006-182550-1F0O</v>
      </c>
    </row>
    <row r="188" ht="22.5" customHeight="1">
      <c r="A188" s="4" t="s">
        <v>755</v>
      </c>
      <c r="B188" s="5" t="s">
        <v>756</v>
      </c>
      <c r="C188" s="6" t="s">
        <v>696</v>
      </c>
      <c r="D188" s="4" t="s">
        <v>169</v>
      </c>
      <c r="E188" s="8">
        <v>45884.0</v>
      </c>
      <c r="F188" s="9" t="s">
        <v>757</v>
      </c>
      <c r="G188" s="10" t="s">
        <v>758</v>
      </c>
      <c r="H188" s="11" t="str">
        <f>HYPERLINK("https://drive.google.com/file/d/1hplkOg7xG-3J8vTIKMTKbPRN5dTpmGVX/view?usp=drivesdk","Certif_Capacitação_Prevenção_Quedas_CERT-20251006-182550-TAED")</f>
        <v>Certif_Capacitação_Prevenção_Quedas_CERT-20251006-182550-TAED</v>
      </c>
    </row>
    <row r="189" ht="22.5" customHeight="1">
      <c r="A189" s="12" t="s">
        <v>759</v>
      </c>
      <c r="B189" s="13" t="s">
        <v>760</v>
      </c>
      <c r="C189" s="14" t="s">
        <v>696</v>
      </c>
      <c r="D189" s="12" t="s">
        <v>169</v>
      </c>
      <c r="E189" s="8">
        <v>45884.0</v>
      </c>
      <c r="F189" s="15" t="s">
        <v>761</v>
      </c>
      <c r="G189" s="16" t="s">
        <v>762</v>
      </c>
      <c r="H189" s="17" t="str">
        <f>HYPERLINK("https://drive.google.com/file/d/1cMarBVmCajEnHz0qxITan56CWH_Fus2g/view?usp=drivesdk","Certif_Capacitação_Prevenção_Quedas_CERT-20251006-182550-DHEO")</f>
        <v>Certif_Capacitação_Prevenção_Quedas_CERT-20251006-182550-DHEO</v>
      </c>
    </row>
    <row r="190" ht="22.5" customHeight="1">
      <c r="A190" s="4" t="s">
        <v>763</v>
      </c>
      <c r="B190" s="5" t="s">
        <v>764</v>
      </c>
      <c r="C190" s="6" t="s">
        <v>696</v>
      </c>
      <c r="D190" s="4" t="s">
        <v>169</v>
      </c>
      <c r="E190" s="8">
        <v>45884.0</v>
      </c>
      <c r="F190" s="9" t="s">
        <v>765</v>
      </c>
      <c r="G190" s="10" t="s">
        <v>766</v>
      </c>
      <c r="H190" s="11" t="str">
        <f>HYPERLINK("https://drive.google.com/file/d/1UpADqXdSlvkz64eIRFUbR_wMI912VYPS/view?usp=drivesdk","Certif_Capacitação_Prevenção_Quedas_CERT-20251006-182550-0NSG")</f>
        <v>Certif_Capacitação_Prevenção_Quedas_CERT-20251006-182550-0NSG</v>
      </c>
    </row>
    <row r="191" ht="22.5" customHeight="1">
      <c r="A191" s="12" t="s">
        <v>767</v>
      </c>
      <c r="B191" s="13" t="s">
        <v>485</v>
      </c>
      <c r="C191" s="14" t="s">
        <v>696</v>
      </c>
      <c r="D191" s="12" t="s">
        <v>169</v>
      </c>
      <c r="E191" s="8">
        <v>45884.0</v>
      </c>
      <c r="F191" s="15" t="s">
        <v>768</v>
      </c>
      <c r="G191" s="16" t="s">
        <v>769</v>
      </c>
      <c r="H191" s="17" t="str">
        <f>HYPERLINK("https://drive.google.com/file/d/1UTfWbndpaFwsEkpls0qLeQdnAsExse1Y/view?usp=drivesdk","Certif_Capacitação_Prevenção_Quedas_CERT-20251006-182550-VWED")</f>
        <v>Certif_Capacitação_Prevenção_Quedas_CERT-20251006-182550-VWED</v>
      </c>
    </row>
    <row r="192" ht="22.5" customHeight="1">
      <c r="A192" s="4" t="s">
        <v>770</v>
      </c>
      <c r="B192" s="5" t="s">
        <v>497</v>
      </c>
      <c r="C192" s="6" t="s">
        <v>696</v>
      </c>
      <c r="D192" s="4" t="s">
        <v>169</v>
      </c>
      <c r="E192" s="8">
        <v>45884.0</v>
      </c>
      <c r="F192" s="9" t="s">
        <v>771</v>
      </c>
      <c r="G192" s="10" t="s">
        <v>772</v>
      </c>
      <c r="H192" s="11" t="str">
        <f>HYPERLINK("https://drive.google.com/file/d/1X5HAw0cCsmb6vLo4QTc4t2Dn4lzG4tEl/view?usp=drivesdk","Certif_Capacitação_Prevenção_Quedas_CERT-20251006-182550-SNE9")</f>
        <v>Certif_Capacitação_Prevenção_Quedas_CERT-20251006-182550-SNE9</v>
      </c>
    </row>
    <row r="193" ht="22.5" customHeight="1">
      <c r="A193" s="12" t="s">
        <v>773</v>
      </c>
      <c r="B193" s="13" t="s">
        <v>774</v>
      </c>
      <c r="C193" s="14" t="s">
        <v>696</v>
      </c>
      <c r="D193" s="12" t="s">
        <v>169</v>
      </c>
      <c r="E193" s="8">
        <v>45884.0</v>
      </c>
      <c r="F193" s="15" t="s">
        <v>775</v>
      </c>
      <c r="G193" s="16" t="s">
        <v>776</v>
      </c>
      <c r="H193" s="17" t="str">
        <f>HYPERLINK("https://drive.google.com/file/d/10-d7TYKidWHgTHcIJKl2cRbcSAlH3SLs/view?usp=drivesdk","Certif_Capacitação_Prevenção_Quedas_CERT-20251006-182550-2T7X")</f>
        <v>Certif_Capacitação_Prevenção_Quedas_CERT-20251006-182550-2T7X</v>
      </c>
    </row>
    <row r="194" ht="22.5" customHeight="1">
      <c r="A194" s="4" t="s">
        <v>777</v>
      </c>
      <c r="B194" s="5" t="s">
        <v>513</v>
      </c>
      <c r="C194" s="6" t="s">
        <v>696</v>
      </c>
      <c r="D194" s="4" t="s">
        <v>169</v>
      </c>
      <c r="E194" s="8">
        <v>45884.0</v>
      </c>
      <c r="F194" s="9" t="s">
        <v>778</v>
      </c>
      <c r="G194" s="10" t="s">
        <v>779</v>
      </c>
      <c r="H194" s="11" t="str">
        <f>HYPERLINK("https://drive.google.com/file/d/1mbSrvsdvqHPcTQynL2PIRFSU9Rlbi_i4/view?usp=drivesdk","Certif_Capacitação_Prevenção_Quedas_CERT-20251006-182550-GVPH")</f>
        <v>Certif_Capacitação_Prevenção_Quedas_CERT-20251006-182550-GVPH</v>
      </c>
    </row>
    <row r="195" ht="22.5" customHeight="1">
      <c r="A195" s="12" t="s">
        <v>780</v>
      </c>
      <c r="B195" s="13" t="s">
        <v>517</v>
      </c>
      <c r="C195" s="14" t="s">
        <v>696</v>
      </c>
      <c r="D195" s="12" t="s">
        <v>169</v>
      </c>
      <c r="E195" s="8">
        <v>45884.0</v>
      </c>
      <c r="F195" s="15" t="s">
        <v>781</v>
      </c>
      <c r="G195" s="16" t="s">
        <v>782</v>
      </c>
      <c r="H195" s="17" t="str">
        <f>HYPERLINK("https://drive.google.com/file/d/1vqN7GhfAkm6EttA2JtG_YPY_fl4CZTXU/view?usp=drivesdk","Certif_Capacitação_Prevenção_Quedas_CERT-20251006-182550-0LX4")</f>
        <v>Certif_Capacitação_Prevenção_Quedas_CERT-20251006-182550-0LX4</v>
      </c>
    </row>
    <row r="196" ht="22.5" customHeight="1">
      <c r="A196" s="4" t="s">
        <v>783</v>
      </c>
      <c r="B196" s="5" t="s">
        <v>784</v>
      </c>
      <c r="C196" s="6" t="s">
        <v>696</v>
      </c>
      <c r="D196" s="4" t="s">
        <v>169</v>
      </c>
      <c r="E196" s="8">
        <v>45884.0</v>
      </c>
      <c r="F196" s="9" t="s">
        <v>785</v>
      </c>
      <c r="G196" s="10" t="s">
        <v>786</v>
      </c>
      <c r="H196" s="11" t="str">
        <f>HYPERLINK("https://drive.google.com/file/d/1xUfd-IvqhN-lG01jNjiWBokjv1us1qm7/view?usp=drivesdk","Certif_Capacitação_Prevenção_Quedas_CERT-20251006-182550-8ZSW")</f>
        <v>Certif_Capacitação_Prevenção_Quedas_CERT-20251006-182550-8ZSW</v>
      </c>
    </row>
    <row r="197" ht="22.5" customHeight="1">
      <c r="A197" s="12" t="s">
        <v>787</v>
      </c>
      <c r="B197" s="13" t="s">
        <v>788</v>
      </c>
      <c r="C197" s="14" t="s">
        <v>696</v>
      </c>
      <c r="D197" s="12" t="s">
        <v>169</v>
      </c>
      <c r="E197" s="8">
        <v>45884.0</v>
      </c>
      <c r="F197" s="15" t="s">
        <v>789</v>
      </c>
      <c r="G197" s="16" t="s">
        <v>790</v>
      </c>
      <c r="H197" s="17" t="str">
        <f>HYPERLINK("https://drive.google.com/file/d/1Uv8TjgRr15o7l1sAtmpZcbkMH9A9uGq1/view?usp=drivesdk","Certif_Capacitação_Prevenção_Quedas_CERT-20251006-182550-YTX7")</f>
        <v>Certif_Capacitação_Prevenção_Quedas_CERT-20251006-182550-YTX7</v>
      </c>
    </row>
    <row r="198" ht="22.5" customHeight="1">
      <c r="A198" s="4" t="s">
        <v>791</v>
      </c>
      <c r="B198" s="5" t="s">
        <v>792</v>
      </c>
      <c r="C198" s="6" t="s">
        <v>696</v>
      </c>
      <c r="D198" s="4" t="s">
        <v>169</v>
      </c>
      <c r="E198" s="8">
        <v>45884.0</v>
      </c>
      <c r="F198" s="9" t="s">
        <v>793</v>
      </c>
      <c r="G198" s="10" t="s">
        <v>794</v>
      </c>
      <c r="H198" s="11" t="str">
        <f>HYPERLINK("https://drive.google.com/file/d/1mFaQQY66UM8-lJaXotE5Hj3rsh992pbD/view?usp=drivesdk","Certif_Capacitação_Prevenção_Quedas_CERT-20251006-182550-BQWG")</f>
        <v>Certif_Capacitação_Prevenção_Quedas_CERT-20251006-182550-BQWG</v>
      </c>
    </row>
    <row r="199" ht="22.5" customHeight="1">
      <c r="A199" s="12" t="s">
        <v>795</v>
      </c>
      <c r="B199" s="13" t="s">
        <v>796</v>
      </c>
      <c r="C199" s="14" t="s">
        <v>696</v>
      </c>
      <c r="D199" s="12" t="s">
        <v>169</v>
      </c>
      <c r="E199" s="8">
        <v>45884.0</v>
      </c>
      <c r="F199" s="15" t="s">
        <v>797</v>
      </c>
      <c r="G199" s="16" t="s">
        <v>798</v>
      </c>
      <c r="H199" s="17" t="str">
        <f>HYPERLINK("https://drive.google.com/file/d/1RbMnecRQxjS-FYHoPbMDON8snyW09cP6/view?usp=drivesdk","Certif_Capacitação_Prevenção_Quedas_CERT-20251006-182550-5U2R")</f>
        <v>Certif_Capacitação_Prevenção_Quedas_CERT-20251006-182550-5U2R</v>
      </c>
    </row>
    <row r="200" ht="22.5" customHeight="1">
      <c r="A200" s="4" t="s">
        <v>799</v>
      </c>
      <c r="B200" s="5" t="s">
        <v>800</v>
      </c>
      <c r="C200" s="6" t="s">
        <v>696</v>
      </c>
      <c r="D200" s="4" t="s">
        <v>169</v>
      </c>
      <c r="E200" s="8">
        <v>45884.0</v>
      </c>
      <c r="F200" s="9" t="s">
        <v>801</v>
      </c>
      <c r="G200" s="10" t="s">
        <v>802</v>
      </c>
      <c r="H200" s="11" t="str">
        <f>HYPERLINK("https://drive.google.com/file/d/1monbqxOsoUlEiFbs1g0Cx1L6xuDP-ZcG/view?usp=drivesdk","Certif_Capacitação_Prevenção_Quedas_CERT-20251006-182550-JRN4")</f>
        <v>Certif_Capacitação_Prevenção_Quedas_CERT-20251006-182550-JRN4</v>
      </c>
    </row>
    <row r="201" ht="22.5" customHeight="1">
      <c r="A201" s="12" t="s">
        <v>803</v>
      </c>
      <c r="B201" s="13" t="s">
        <v>123</v>
      </c>
      <c r="C201" s="14" t="s">
        <v>696</v>
      </c>
      <c r="D201" s="12" t="s">
        <v>169</v>
      </c>
      <c r="E201" s="8">
        <v>45884.0</v>
      </c>
      <c r="F201" s="15" t="s">
        <v>804</v>
      </c>
      <c r="G201" s="16" t="s">
        <v>805</v>
      </c>
      <c r="H201" s="17" t="str">
        <f>HYPERLINK("https://drive.google.com/file/d/18E-3Vnw6A-k1eiHpIsKNn9lLVN-I4sHJ/view?usp=drivesdk","Certif_Capacitação_Prevenção_Quedas_CERT-20251006-182550-PGA4")</f>
        <v>Certif_Capacitação_Prevenção_Quedas_CERT-20251006-182550-PGA4</v>
      </c>
    </row>
    <row r="202" ht="22.5" customHeight="1">
      <c r="A202" s="4" t="s">
        <v>806</v>
      </c>
      <c r="B202" s="5" t="s">
        <v>807</v>
      </c>
      <c r="C202" s="6" t="s">
        <v>696</v>
      </c>
      <c r="D202" s="4" t="s">
        <v>169</v>
      </c>
      <c r="E202" s="8">
        <v>45884.0</v>
      </c>
      <c r="F202" s="9" t="s">
        <v>808</v>
      </c>
      <c r="G202" s="10" t="s">
        <v>809</v>
      </c>
      <c r="H202" s="11" t="str">
        <f>HYPERLINK("https://drive.google.com/file/d/1q-lTsgTQf4qhVEKBbXYXIRjIhL0HwiIl/view?usp=drivesdk","Certif_Capacitação_Prevenção_Quedas_CERT-20251006-182550-PO6Q")</f>
        <v>Certif_Capacitação_Prevenção_Quedas_CERT-20251006-182550-PO6Q</v>
      </c>
    </row>
    <row r="203" ht="22.5" customHeight="1">
      <c r="A203" s="12" t="s">
        <v>810</v>
      </c>
      <c r="B203" s="13" t="s">
        <v>811</v>
      </c>
      <c r="C203" s="14" t="s">
        <v>696</v>
      </c>
      <c r="D203" s="12" t="s">
        <v>169</v>
      </c>
      <c r="E203" s="8">
        <v>45884.0</v>
      </c>
      <c r="F203" s="15" t="s">
        <v>812</v>
      </c>
      <c r="G203" s="16" t="s">
        <v>813</v>
      </c>
      <c r="H203" s="17" t="str">
        <f>HYPERLINK("https://drive.google.com/file/d/14GhYVKyFJMcbUa7cWHWwngOYfOTn2StG/view?usp=drivesdk","Certif_Capacitação_Prevenção_Quedas_CERT-20251006-182550-B7JC")</f>
        <v>Certif_Capacitação_Prevenção_Quedas_CERT-20251006-182550-B7JC</v>
      </c>
    </row>
    <row r="204" ht="22.5" customHeight="1">
      <c r="A204" s="4" t="s">
        <v>814</v>
      </c>
      <c r="B204" s="5" t="s">
        <v>815</v>
      </c>
      <c r="C204" s="6" t="s">
        <v>696</v>
      </c>
      <c r="D204" s="4" t="s">
        <v>169</v>
      </c>
      <c r="E204" s="8">
        <v>45884.0</v>
      </c>
      <c r="F204" s="9" t="s">
        <v>816</v>
      </c>
      <c r="G204" s="10" t="s">
        <v>817</v>
      </c>
      <c r="H204" s="11" t="str">
        <f>HYPERLINK("https://drive.google.com/file/d/19SKUVEPJMcTWkd-pgCZV-O-vI78ARUxS/view?usp=drivesdk","Certif_Capacitação_Prevenção_Quedas_CERT-20251006-182550-UDJ6")</f>
        <v>Certif_Capacitação_Prevenção_Quedas_CERT-20251006-182550-UDJ6</v>
      </c>
    </row>
    <row r="205" ht="22.5" customHeight="1">
      <c r="A205" s="12" t="s">
        <v>818</v>
      </c>
      <c r="B205" s="13" t="s">
        <v>815</v>
      </c>
      <c r="C205" s="14" t="s">
        <v>696</v>
      </c>
      <c r="D205" s="12" t="s">
        <v>169</v>
      </c>
      <c r="E205" s="8">
        <v>45884.0</v>
      </c>
      <c r="F205" s="15" t="s">
        <v>819</v>
      </c>
      <c r="G205" s="16" t="s">
        <v>820</v>
      </c>
      <c r="H205" s="17" t="str">
        <f>HYPERLINK("https://drive.google.com/file/d/1FvNL7Upaj3dbi2Jp7Yt-CjuV_kovzbXb/view?usp=drivesdk","Certif_Capacitação_Prevenção_Quedas_CERT-20251006-182550-U2E7")</f>
        <v>Certif_Capacitação_Prevenção_Quedas_CERT-20251006-182550-U2E7</v>
      </c>
    </row>
    <row r="206" ht="22.5" customHeight="1">
      <c r="A206" s="4" t="s">
        <v>821</v>
      </c>
      <c r="B206" s="5" t="s">
        <v>822</v>
      </c>
      <c r="C206" s="6" t="s">
        <v>696</v>
      </c>
      <c r="D206" s="4" t="s">
        <v>169</v>
      </c>
      <c r="E206" s="8">
        <v>45884.0</v>
      </c>
      <c r="F206" s="9" t="s">
        <v>823</v>
      </c>
      <c r="G206" s="10" t="s">
        <v>824</v>
      </c>
      <c r="H206" s="11" t="str">
        <f>HYPERLINK("https://drive.google.com/file/d/13F2Z9pkvB9PFN1mzlhfev_SAe25GRU1c/view?usp=drivesdk","Certif_Capacitação_Prevenção_Quedas_CERT-20251006-182550-6T1Y")</f>
        <v>Certif_Capacitação_Prevenção_Quedas_CERT-20251006-182550-6T1Y</v>
      </c>
    </row>
    <row r="207" ht="22.5" customHeight="1">
      <c r="A207" s="12" t="s">
        <v>825</v>
      </c>
      <c r="B207" s="13" t="s">
        <v>581</v>
      </c>
      <c r="C207" s="14" t="s">
        <v>696</v>
      </c>
      <c r="D207" s="12" t="s">
        <v>169</v>
      </c>
      <c r="E207" s="8">
        <v>45884.0</v>
      </c>
      <c r="F207" s="15" t="s">
        <v>826</v>
      </c>
      <c r="G207" s="16" t="s">
        <v>827</v>
      </c>
      <c r="H207" s="17" t="str">
        <f>HYPERLINK("https://drive.google.com/file/d/1PlvzUkhLcZL2Y6Gwmfca9ugiPpGzemDB/view?usp=drivesdk","Certif_Capacitação_Prevenção_Quedas_CERT-20251006-182550-PODN")</f>
        <v>Certif_Capacitação_Prevenção_Quedas_CERT-20251006-182550-PODN</v>
      </c>
    </row>
    <row r="208" ht="22.5" customHeight="1">
      <c r="A208" s="4" t="s">
        <v>828</v>
      </c>
      <c r="B208" s="5" t="s">
        <v>829</v>
      </c>
      <c r="C208" s="6" t="s">
        <v>696</v>
      </c>
      <c r="D208" s="4" t="s">
        <v>169</v>
      </c>
      <c r="E208" s="8">
        <v>45884.0</v>
      </c>
      <c r="F208" s="9" t="s">
        <v>830</v>
      </c>
      <c r="G208" s="10" t="s">
        <v>831</v>
      </c>
      <c r="H208" s="11" t="str">
        <f>HYPERLINK("https://drive.google.com/file/d/1YGhlCLkXDHgTm2uE_SN35nXd7NpKgftb/view?usp=drivesdk","Certif_Capacitação_Prevenção_Quedas_CERT-20251006-182550-WYYY")</f>
        <v>Certif_Capacitação_Prevenção_Quedas_CERT-20251006-182550-WYYY</v>
      </c>
    </row>
    <row r="209" ht="22.5" customHeight="1">
      <c r="A209" s="12" t="s">
        <v>832</v>
      </c>
      <c r="B209" s="13" t="s">
        <v>833</v>
      </c>
      <c r="C209" s="14" t="s">
        <v>696</v>
      </c>
      <c r="D209" s="12" t="s">
        <v>169</v>
      </c>
      <c r="E209" s="8">
        <v>45884.0</v>
      </c>
      <c r="F209" s="15" t="s">
        <v>834</v>
      </c>
      <c r="G209" s="16" t="s">
        <v>835</v>
      </c>
      <c r="H209" s="17" t="str">
        <f>HYPERLINK("https://drive.google.com/file/d/1_SyrsosyTNd38J4xPZae0PUh2eV71Iaq/view?usp=drivesdk","Certif_Capacitação_Prevenção_Quedas_CERT-20251006-182550-EOAS")</f>
        <v>Certif_Capacitação_Prevenção_Quedas_CERT-20251006-182550-EOAS</v>
      </c>
    </row>
    <row r="210" ht="22.5" customHeight="1">
      <c r="A210" s="4" t="s">
        <v>836</v>
      </c>
      <c r="B210" s="5" t="s">
        <v>593</v>
      </c>
      <c r="C210" s="6" t="s">
        <v>696</v>
      </c>
      <c r="D210" s="4" t="s">
        <v>169</v>
      </c>
      <c r="E210" s="8">
        <v>45884.0</v>
      </c>
      <c r="F210" s="9" t="s">
        <v>837</v>
      </c>
      <c r="G210" s="10" t="s">
        <v>838</v>
      </c>
      <c r="H210" s="11" t="str">
        <f>HYPERLINK("https://drive.google.com/file/d/1e-LBGKzAc749JhfRaUB5Z6G6cwGCDcNi/view?usp=drivesdk","Certif_Capacitação_Prevenção_Quedas_CERT-20251006-182550-6Q29")</f>
        <v>Certif_Capacitação_Prevenção_Quedas_CERT-20251006-182550-6Q29</v>
      </c>
    </row>
    <row r="211" ht="22.5" customHeight="1">
      <c r="A211" s="12" t="s">
        <v>839</v>
      </c>
      <c r="B211" s="13" t="s">
        <v>840</v>
      </c>
      <c r="C211" s="14" t="s">
        <v>696</v>
      </c>
      <c r="D211" s="12" t="s">
        <v>169</v>
      </c>
      <c r="E211" s="8">
        <v>45884.0</v>
      </c>
      <c r="F211" s="15" t="s">
        <v>841</v>
      </c>
      <c r="G211" s="16" t="s">
        <v>842</v>
      </c>
      <c r="H211" s="17" t="str">
        <f>HYPERLINK("https://drive.google.com/file/d/1hnH6LYraqDl6k6Hj1AOvQx9X2u9UKTwN/view?usp=drivesdk","Certif_Capacitação_Prevenção_Quedas_CERT-20251006-182550-WGG0")</f>
        <v>Certif_Capacitação_Prevenção_Quedas_CERT-20251006-182550-WGG0</v>
      </c>
    </row>
    <row r="212" ht="22.5" customHeight="1">
      <c r="A212" s="4" t="s">
        <v>843</v>
      </c>
      <c r="B212" s="5" t="s">
        <v>844</v>
      </c>
      <c r="C212" s="6" t="s">
        <v>696</v>
      </c>
      <c r="D212" s="4" t="s">
        <v>169</v>
      </c>
      <c r="E212" s="8">
        <v>45884.0</v>
      </c>
      <c r="F212" s="9" t="s">
        <v>845</v>
      </c>
      <c r="G212" s="10" t="s">
        <v>846</v>
      </c>
      <c r="H212" s="11" t="str">
        <f>HYPERLINK("https://drive.google.com/file/d/1wuKlMgmVD7Nti11lYJFtYZVsf8-JOeSw/view?usp=drivesdk","Certif_Capacitação_Prevenção_Quedas_CERT-20251006-182550-6JXW")</f>
        <v>Certif_Capacitação_Prevenção_Quedas_CERT-20251006-182550-6JXW</v>
      </c>
    </row>
    <row r="213" ht="22.5" customHeight="1">
      <c r="A213" s="12" t="s">
        <v>847</v>
      </c>
      <c r="B213" s="13" t="s">
        <v>848</v>
      </c>
      <c r="C213" s="14" t="s">
        <v>696</v>
      </c>
      <c r="D213" s="12" t="s">
        <v>169</v>
      </c>
      <c r="E213" s="8">
        <v>45884.0</v>
      </c>
      <c r="F213" s="15" t="s">
        <v>849</v>
      </c>
      <c r="G213" s="16" t="s">
        <v>850</v>
      </c>
      <c r="H213" s="17" t="str">
        <f>HYPERLINK("https://drive.google.com/file/d/15IdFmhJbmpiHHHLAcQVdYmG9khMCSxkB/view?usp=drivesdk","Certif_Capacitação_Prevenção_Quedas_CERT-20251006-182550-DVYI")</f>
        <v>Certif_Capacitação_Prevenção_Quedas_CERT-20251006-182550-DVYI</v>
      </c>
    </row>
    <row r="214" ht="22.5" customHeight="1">
      <c r="A214" s="4" t="s">
        <v>851</v>
      </c>
      <c r="B214" s="5" t="s">
        <v>237</v>
      </c>
      <c r="C214" s="6" t="s">
        <v>696</v>
      </c>
      <c r="D214" s="4" t="s">
        <v>169</v>
      </c>
      <c r="E214" s="8">
        <v>45884.0</v>
      </c>
      <c r="F214" s="9" t="s">
        <v>852</v>
      </c>
      <c r="G214" s="10" t="s">
        <v>853</v>
      </c>
      <c r="H214" s="11" t="str">
        <f>HYPERLINK("https://drive.google.com/file/d/1QBQybxD5_wyOPLkqDbwsNtYEfXtxf0iT/view?usp=drivesdk","Certif_Capacitação_Prevenção_Quedas_CERT-20251006-182550-QMZE")</f>
        <v>Certif_Capacitação_Prevenção_Quedas_CERT-20251006-182550-QMZE</v>
      </c>
    </row>
    <row r="215" ht="22.5" customHeight="1">
      <c r="A215" s="12" t="s">
        <v>854</v>
      </c>
      <c r="B215" s="13" t="s">
        <v>855</v>
      </c>
      <c r="C215" s="14" t="s">
        <v>696</v>
      </c>
      <c r="D215" s="12" t="s">
        <v>169</v>
      </c>
      <c r="E215" s="8">
        <v>45884.0</v>
      </c>
      <c r="F215" s="15" t="s">
        <v>856</v>
      </c>
      <c r="G215" s="16" t="s">
        <v>857</v>
      </c>
      <c r="H215" s="17" t="str">
        <f>HYPERLINK("https://drive.google.com/file/d/1v20r016hWgXZo58r5Uow_0kaLXFVBrhy/view?usp=drivesdk","Certif_Capacitação_Prevenção_Quedas_CERT-20251006-182550-UX1N")</f>
        <v>Certif_Capacitação_Prevenção_Quedas_CERT-20251006-182550-UX1N</v>
      </c>
    </row>
    <row r="216" ht="22.5" customHeight="1">
      <c r="A216" s="4" t="s">
        <v>858</v>
      </c>
      <c r="B216" s="5" t="s">
        <v>859</v>
      </c>
      <c r="C216" s="6" t="s">
        <v>696</v>
      </c>
      <c r="D216" s="4" t="s">
        <v>169</v>
      </c>
      <c r="E216" s="8">
        <v>45884.0</v>
      </c>
      <c r="F216" s="9" t="s">
        <v>860</v>
      </c>
      <c r="G216" s="10" t="s">
        <v>861</v>
      </c>
      <c r="H216" s="11" t="str">
        <f>HYPERLINK("https://drive.google.com/file/d/1EBCVl2-bLc4iC4shZC7oyQNYxkdtm3xp/view?usp=drivesdk","Certif_Capacitação_Prevenção_Quedas_CERT-20251006-182550-39UH")</f>
        <v>Certif_Capacitação_Prevenção_Quedas_CERT-20251006-182550-39UH</v>
      </c>
    </row>
    <row r="217" ht="22.5" customHeight="1">
      <c r="A217" s="12" t="s">
        <v>862</v>
      </c>
      <c r="B217" s="13" t="s">
        <v>863</v>
      </c>
      <c r="C217" s="14" t="s">
        <v>696</v>
      </c>
      <c r="D217" s="12" t="s">
        <v>169</v>
      </c>
      <c r="E217" s="8">
        <v>45884.0</v>
      </c>
      <c r="F217" s="15" t="s">
        <v>864</v>
      </c>
      <c r="G217" s="16" t="s">
        <v>865</v>
      </c>
      <c r="H217" s="17" t="str">
        <f>HYPERLINK("https://drive.google.com/file/d/1kzaiRASb9R2glMY3zcT-49Q7GtVMDe6p/view?usp=drivesdk","Certif_Capacitação_Prevenção_Quedas_CERT-20251006-182550-1TLW")</f>
        <v>Certif_Capacitação_Prevenção_Quedas_CERT-20251006-182550-1TLW</v>
      </c>
    </row>
    <row r="218" ht="22.5" customHeight="1">
      <c r="A218" s="4" t="s">
        <v>866</v>
      </c>
      <c r="B218" s="5" t="s">
        <v>867</v>
      </c>
      <c r="C218" s="6" t="s">
        <v>696</v>
      </c>
      <c r="D218" s="4" t="s">
        <v>169</v>
      </c>
      <c r="E218" s="8">
        <v>45884.0</v>
      </c>
      <c r="F218" s="9" t="s">
        <v>868</v>
      </c>
      <c r="G218" s="10" t="s">
        <v>869</v>
      </c>
      <c r="H218" s="11" t="str">
        <f>HYPERLINK("https://drive.google.com/file/d/1cx7k4jx16JctQgtOG0EDlE9OaMDZDsas/view?usp=drivesdk","Certif_Capacitação_Prevenção_Quedas_CERT-20251006-182550-TQIY")</f>
        <v>Certif_Capacitação_Prevenção_Quedas_CERT-20251006-182550-TQIY</v>
      </c>
    </row>
    <row r="219" ht="22.5" customHeight="1">
      <c r="A219" s="12" t="s">
        <v>870</v>
      </c>
      <c r="B219" s="13" t="s">
        <v>871</v>
      </c>
      <c r="C219" s="14" t="s">
        <v>696</v>
      </c>
      <c r="D219" s="12" t="s">
        <v>169</v>
      </c>
      <c r="E219" s="8">
        <v>45884.0</v>
      </c>
      <c r="F219" s="15" t="s">
        <v>872</v>
      </c>
      <c r="G219" s="16" t="s">
        <v>873</v>
      </c>
      <c r="H219" s="17" t="str">
        <f>HYPERLINK("https://drive.google.com/file/d/12PvA6SM4OKQqqN8KdA6BaIn-R9vWZket/view?usp=drivesdk","Certif_Capacitação_Prevenção_Quedas_CERT-20251006-182550-Z3B5")</f>
        <v>Certif_Capacitação_Prevenção_Quedas_CERT-20251006-182550-Z3B5</v>
      </c>
    </row>
    <row r="220" ht="22.5" customHeight="1">
      <c r="A220" s="4" t="s">
        <v>874</v>
      </c>
      <c r="B220" s="5" t="s">
        <v>875</v>
      </c>
      <c r="C220" s="6" t="s">
        <v>696</v>
      </c>
      <c r="D220" s="4" t="s">
        <v>169</v>
      </c>
      <c r="E220" s="8">
        <v>45884.0</v>
      </c>
      <c r="F220" s="9" t="s">
        <v>876</v>
      </c>
      <c r="G220" s="10" t="s">
        <v>877</v>
      </c>
      <c r="H220" s="11" t="str">
        <f>HYPERLINK("https://drive.google.com/file/d/1DHzwds4b454rKNAzwniGV6LL41_wAuNS/view?usp=drivesdk","Certif_Capacitação_Prevenção_Quedas_CERT-20251006-182550-GDKC")</f>
        <v>Certif_Capacitação_Prevenção_Quedas_CERT-20251006-182550-GDKC</v>
      </c>
    </row>
    <row r="221" ht="22.5" customHeight="1">
      <c r="A221" s="50" t="s">
        <v>878</v>
      </c>
      <c r="B221" s="27" t="s">
        <v>879</v>
      </c>
      <c r="C221" s="26" t="s">
        <v>696</v>
      </c>
      <c r="D221" s="50" t="s">
        <v>169</v>
      </c>
      <c r="E221" s="22">
        <v>45884.0</v>
      </c>
      <c r="F221" s="51" t="s">
        <v>880</v>
      </c>
      <c r="G221" s="52" t="s">
        <v>881</v>
      </c>
      <c r="H221" s="53" t="str">
        <f>HYPERLINK("https://drive.google.com/file/d/10GPwOKnX4NI44hYEevyAUI7migPjLASf/view?usp=drivesdk","Certif_Capacitação_Prevenção_Quedas_CERT-20251006-182550-TKEM")</f>
        <v>Certif_Capacitação_Prevenção_Quedas_CERT-20251006-182550-TKEM</v>
      </c>
    </row>
    <row r="222" ht="22.5" customHeight="1">
      <c r="A222" s="42" t="s">
        <v>882</v>
      </c>
      <c r="B222" s="54" t="s">
        <v>883</v>
      </c>
      <c r="C222" s="6" t="s">
        <v>884</v>
      </c>
      <c r="D222" s="4" t="s">
        <v>169</v>
      </c>
      <c r="E222" s="8">
        <v>45908.0</v>
      </c>
      <c r="F222" s="9" t="s">
        <v>885</v>
      </c>
      <c r="G222" s="10" t="s">
        <v>886</v>
      </c>
      <c r="H222" s="11" t="str">
        <f>HYPERLINK("https://drive.google.com/file/d/1Zz63BNn03TEtGGfwrhsDfS3Read1xCy-/view?usp=drivesdk","Certificado_Notificação_Eventos_Adversos_CERT-20251009-125241-XCL4")</f>
        <v>Certificado_Notificação_Eventos_Adversos_CERT-20251009-125241-XCL4</v>
      </c>
    </row>
    <row r="223" ht="22.5" customHeight="1">
      <c r="A223" s="44" t="s">
        <v>887</v>
      </c>
      <c r="B223" s="55" t="s">
        <v>888</v>
      </c>
      <c r="C223" s="14" t="s">
        <v>884</v>
      </c>
      <c r="D223" s="12" t="s">
        <v>169</v>
      </c>
      <c r="E223" s="8">
        <v>45908.0</v>
      </c>
      <c r="F223" s="15" t="s">
        <v>889</v>
      </c>
      <c r="G223" s="16" t="s">
        <v>890</v>
      </c>
      <c r="H223" s="17" t="str">
        <f>HYPERLINK("https://drive.google.com/file/d/1CxnMjhcOmcinIs2kx0ZoRdKD6Bwg05ot/view?usp=drivesdk","Certificado_Notificação_Eventos_Adversos_CERT-20251009-125241-PK6D")</f>
        <v>Certificado_Notificação_Eventos_Adversos_CERT-20251009-125241-PK6D</v>
      </c>
    </row>
    <row r="224" ht="22.5" customHeight="1">
      <c r="A224" s="42" t="s">
        <v>891</v>
      </c>
      <c r="B224" s="54" t="s">
        <v>892</v>
      </c>
      <c r="C224" s="6" t="s">
        <v>884</v>
      </c>
      <c r="D224" s="4" t="s">
        <v>169</v>
      </c>
      <c r="E224" s="8">
        <v>45908.0</v>
      </c>
      <c r="F224" s="9" t="s">
        <v>893</v>
      </c>
      <c r="G224" s="10" t="s">
        <v>894</v>
      </c>
      <c r="H224" s="11" t="str">
        <f>HYPERLINK("https://drive.google.com/file/d/1VsNQC1QzzjBGdaDrtcIf5jKJYBey0_fe/view?usp=drivesdk","Certificado_Notificação_Eventos_Adversos_CERT-20251009-125241-5B5P")</f>
        <v>Certificado_Notificação_Eventos_Adversos_CERT-20251009-125241-5B5P</v>
      </c>
    </row>
    <row r="225" ht="22.5" customHeight="1">
      <c r="A225" s="44" t="s">
        <v>895</v>
      </c>
      <c r="B225" s="55" t="s">
        <v>896</v>
      </c>
      <c r="C225" s="14" t="s">
        <v>884</v>
      </c>
      <c r="D225" s="12" t="s">
        <v>169</v>
      </c>
      <c r="E225" s="8">
        <v>45908.0</v>
      </c>
      <c r="F225" s="15" t="s">
        <v>897</v>
      </c>
      <c r="G225" s="16" t="s">
        <v>898</v>
      </c>
      <c r="H225" s="17" t="str">
        <f>HYPERLINK("https://drive.google.com/file/d/1qCJyy0GpxFN0uOmO7w1hYt-hUAIASu5-/view?usp=drivesdk","Certificado_Notificação_Eventos_Adversos_CERT-20251009-125241-MBR7")</f>
        <v>Certificado_Notificação_Eventos_Adversos_CERT-20251009-125241-MBR7</v>
      </c>
    </row>
    <row r="226" ht="22.5" customHeight="1">
      <c r="A226" s="42" t="s">
        <v>899</v>
      </c>
      <c r="B226" s="54" t="s">
        <v>900</v>
      </c>
      <c r="C226" s="6" t="s">
        <v>884</v>
      </c>
      <c r="D226" s="4" t="s">
        <v>169</v>
      </c>
      <c r="E226" s="8">
        <v>45908.0</v>
      </c>
      <c r="F226" s="9" t="s">
        <v>901</v>
      </c>
      <c r="G226" s="10" t="s">
        <v>902</v>
      </c>
      <c r="H226" s="11" t="str">
        <f>HYPERLINK("https://drive.google.com/file/d/1N9xs7YspQYiQvtwpOqdq2veJYzwm3DFL/view?usp=drivesdk","Certificado_Notificação_Eventos_Adversos_CERT-20251009-125241-P2XL")</f>
        <v>Certificado_Notificação_Eventos_Adversos_CERT-20251009-125241-P2XL</v>
      </c>
    </row>
    <row r="227" ht="22.5" customHeight="1">
      <c r="A227" s="44" t="s">
        <v>903</v>
      </c>
      <c r="B227" s="55" t="s">
        <v>904</v>
      </c>
      <c r="C227" s="14" t="s">
        <v>884</v>
      </c>
      <c r="D227" s="12" t="s">
        <v>169</v>
      </c>
      <c r="E227" s="8">
        <v>45908.0</v>
      </c>
      <c r="F227" s="15" t="s">
        <v>905</v>
      </c>
      <c r="G227" s="16" t="s">
        <v>906</v>
      </c>
      <c r="H227" s="17" t="str">
        <f>HYPERLINK("https://drive.google.com/file/d/1TtmwBtyiM1YtlQKaxSpeBKxMdtUCnmEU/view?usp=drivesdk","Certificado_Notificação_Eventos_Adversos_CERT-20251009-125241-OI4K")</f>
        <v>Certificado_Notificação_Eventos_Adversos_CERT-20251009-125241-OI4K</v>
      </c>
    </row>
    <row r="228" ht="22.5" customHeight="1">
      <c r="A228" s="42" t="s">
        <v>907</v>
      </c>
      <c r="B228" s="54" t="s">
        <v>908</v>
      </c>
      <c r="C228" s="6" t="s">
        <v>884</v>
      </c>
      <c r="D228" s="4" t="s">
        <v>169</v>
      </c>
      <c r="E228" s="8">
        <v>45908.0</v>
      </c>
      <c r="F228" s="9" t="s">
        <v>909</v>
      </c>
      <c r="G228" s="10" t="s">
        <v>910</v>
      </c>
      <c r="H228" s="11" t="str">
        <f>HYPERLINK("https://drive.google.com/file/d/1EQJ7-VAL-tDrUlnJhZYqhiHqdSYiQVpb/view?usp=drivesdk","Certificado_Notificação_Eventos_Adversos_CERT-20251009-125241-CT51")</f>
        <v>Certificado_Notificação_Eventos_Adversos_CERT-20251009-125241-CT51</v>
      </c>
    </row>
    <row r="229" ht="22.5" customHeight="1">
      <c r="A229" s="44" t="s">
        <v>911</v>
      </c>
      <c r="B229" s="55" t="s">
        <v>912</v>
      </c>
      <c r="C229" s="14" t="s">
        <v>884</v>
      </c>
      <c r="D229" s="12" t="s">
        <v>169</v>
      </c>
      <c r="E229" s="8">
        <v>45908.0</v>
      </c>
      <c r="F229" s="15" t="s">
        <v>913</v>
      </c>
      <c r="G229" s="16" t="s">
        <v>914</v>
      </c>
      <c r="H229" s="17" t="str">
        <f>HYPERLINK("https://drive.google.com/file/d/1CwV3XFp9j3YNJ_d195IWYdN6ZvGf6Y3G/view?usp=drivesdk","Certificado_Notificação_Eventos_Adversos_CERT-20251009-125241-D3VG")</f>
        <v>Certificado_Notificação_Eventos_Adversos_CERT-20251009-125241-D3VG</v>
      </c>
    </row>
    <row r="230" ht="22.5" customHeight="1">
      <c r="A230" s="42" t="s">
        <v>915</v>
      </c>
      <c r="B230" s="54" t="s">
        <v>916</v>
      </c>
      <c r="C230" s="6" t="s">
        <v>884</v>
      </c>
      <c r="D230" s="4" t="s">
        <v>169</v>
      </c>
      <c r="E230" s="8">
        <v>45908.0</v>
      </c>
      <c r="F230" s="9" t="s">
        <v>917</v>
      </c>
      <c r="G230" s="10" t="s">
        <v>918</v>
      </c>
      <c r="H230" s="11" t="str">
        <f>HYPERLINK("https://drive.google.com/file/d/1n86vz7WA1gSSzcGoEP3VdseBVUnH8NYv/view?usp=drivesdk","Certificado_Notificação_Eventos_Adversos_CERT-20251009-125241-BZ70")</f>
        <v>Certificado_Notificação_Eventos_Adversos_CERT-20251009-125241-BZ70</v>
      </c>
    </row>
    <row r="231" ht="22.5" customHeight="1">
      <c r="A231" s="44" t="s">
        <v>919</v>
      </c>
      <c r="B231" s="55" t="s">
        <v>91</v>
      </c>
      <c r="C231" s="14" t="s">
        <v>884</v>
      </c>
      <c r="D231" s="12" t="s">
        <v>169</v>
      </c>
      <c r="E231" s="8">
        <v>45908.0</v>
      </c>
      <c r="F231" s="15" t="s">
        <v>920</v>
      </c>
      <c r="G231" s="16" t="s">
        <v>921</v>
      </c>
      <c r="H231" s="17" t="str">
        <f>HYPERLINK("https://drive.google.com/file/d/18yrUOn55BSF4LqDhkvO4RZc9bNOiCHNk/view?usp=drivesdk","Certificado_Notificação_Eventos_Adversos_CERT-20251009-125241-8D7T")</f>
        <v>Certificado_Notificação_Eventos_Adversos_CERT-20251009-125241-8D7T</v>
      </c>
    </row>
    <row r="232" ht="22.5" customHeight="1">
      <c r="A232" s="56" t="s">
        <v>922</v>
      </c>
      <c r="B232" s="57" t="s">
        <v>923</v>
      </c>
      <c r="C232" s="33" t="s">
        <v>884</v>
      </c>
      <c r="D232" s="31" t="s">
        <v>169</v>
      </c>
      <c r="E232" s="22">
        <v>45908.0</v>
      </c>
      <c r="F232" s="23" t="s">
        <v>924</v>
      </c>
      <c r="G232" s="24" t="s">
        <v>925</v>
      </c>
      <c r="H232" s="25" t="str">
        <f>HYPERLINK("https://drive.google.com/file/d/1FAayIur6DlDEGmeRmgxZX756PdmKePAA/view?usp=drivesdk","Certificado_Notificação_Eventos_Adversos_CERT-20251009-125241-GNBR")</f>
        <v>Certificado_Notificação_Eventos_Adversos_CERT-20251009-125241-GNBR</v>
      </c>
    </row>
    <row r="233" ht="22.5" customHeight="1">
      <c r="A233" s="42" t="s">
        <v>926</v>
      </c>
      <c r="B233" s="58" t="s">
        <v>883</v>
      </c>
      <c r="C233" s="6" t="s">
        <v>927</v>
      </c>
      <c r="D233" s="4" t="s">
        <v>169</v>
      </c>
      <c r="E233" s="8">
        <v>45923.0</v>
      </c>
      <c r="F233" s="9" t="s">
        <v>928</v>
      </c>
      <c r="G233" s="10" t="s">
        <v>929</v>
      </c>
      <c r="H233" s="11" t="str">
        <f>HYPERLINK("https://drive.google.com/file/d/1l2ZAF3v-9a39DmzMB5CmtawhYh6dKNoF/view?usp=drivesdk","Certificado_Capacitação_Lavagem_de_Mãos_CERT-20251008-172033-5SNH")</f>
        <v>Certificado_Capacitação_Lavagem_de_Mãos_CERT-20251008-172033-5SNH</v>
      </c>
    </row>
    <row r="234" ht="22.5" customHeight="1">
      <c r="A234" s="44" t="s">
        <v>930</v>
      </c>
      <c r="B234" s="59" t="s">
        <v>931</v>
      </c>
      <c r="C234" s="14" t="s">
        <v>927</v>
      </c>
      <c r="D234" s="12" t="s">
        <v>169</v>
      </c>
      <c r="E234" s="8">
        <v>45923.0</v>
      </c>
      <c r="F234" s="15" t="s">
        <v>932</v>
      </c>
      <c r="G234" s="16" t="s">
        <v>933</v>
      </c>
      <c r="H234" s="17" t="str">
        <f>HYPERLINK("https://drive.google.com/file/d/1u2gHt1Hq9U5A-WUBbcruzWJlkgN1RH9x/view?usp=drivesdk","Certificado_Capacitação_Lavagem_de_Mãos_CERT-20251008-172033-M0FE")</f>
        <v>Certificado_Capacitação_Lavagem_de_Mãos_CERT-20251008-172033-M0FE</v>
      </c>
    </row>
    <row r="235" ht="22.5" customHeight="1">
      <c r="A235" s="42" t="s">
        <v>934</v>
      </c>
      <c r="B235" s="58" t="s">
        <v>935</v>
      </c>
      <c r="C235" s="6" t="s">
        <v>927</v>
      </c>
      <c r="D235" s="4" t="s">
        <v>169</v>
      </c>
      <c r="E235" s="8">
        <v>45923.0</v>
      </c>
      <c r="F235" s="9" t="s">
        <v>936</v>
      </c>
      <c r="G235" s="10" t="s">
        <v>937</v>
      </c>
      <c r="H235" s="11" t="str">
        <f>HYPERLINK("https://drive.google.com/file/d/1AGIEtSjyfpTsVOYxQDr8LCGdFWM_-6ui/view?usp=drivesdk","Certificado_Capacitação_Lavagem_de_Mãos_CERT-20251008-172033-L9PU")</f>
        <v>Certificado_Capacitação_Lavagem_de_Mãos_CERT-20251008-172033-L9PU</v>
      </c>
    </row>
    <row r="236" ht="22.5" customHeight="1">
      <c r="A236" s="44" t="s">
        <v>938</v>
      </c>
      <c r="B236" s="59" t="s">
        <v>939</v>
      </c>
      <c r="C236" s="14" t="s">
        <v>927</v>
      </c>
      <c r="D236" s="12" t="s">
        <v>169</v>
      </c>
      <c r="E236" s="8">
        <v>45923.0</v>
      </c>
      <c r="F236" s="15" t="s">
        <v>940</v>
      </c>
      <c r="G236" s="16" t="s">
        <v>941</v>
      </c>
      <c r="H236" s="17" t="str">
        <f>HYPERLINK("https://drive.google.com/file/d/1v2Pmg1LXRcsFYLw2EN2cZxSDhHgMhI8_/view?usp=drivesdk","Certificado_Capacitação_Lavagem_de_Mãos_CERT-20251008-172033-NRW8")</f>
        <v>Certificado_Capacitação_Lavagem_de_Mãos_CERT-20251008-172033-NRW8</v>
      </c>
    </row>
    <row r="237" ht="22.5" customHeight="1">
      <c r="A237" s="42" t="s">
        <v>942</v>
      </c>
      <c r="B237" s="58" t="s">
        <v>943</v>
      </c>
      <c r="C237" s="6" t="s">
        <v>927</v>
      </c>
      <c r="D237" s="4" t="s">
        <v>169</v>
      </c>
      <c r="E237" s="8">
        <v>45923.0</v>
      </c>
      <c r="F237" s="9" t="s">
        <v>944</v>
      </c>
      <c r="G237" s="10" t="s">
        <v>945</v>
      </c>
      <c r="H237" s="11" t="str">
        <f>HYPERLINK("https://drive.google.com/file/d/11D42HD5IQPlmqM-E6ix0wn9xpSOlAzU2/view?usp=drivesdk","Certificado_Capacitação_Lavagem_de_Mãos_CERT-20251008-172033-O8FC")</f>
        <v>Certificado_Capacitação_Lavagem_de_Mãos_CERT-20251008-172033-O8FC</v>
      </c>
    </row>
    <row r="238" ht="22.5" customHeight="1">
      <c r="A238" s="44" t="s">
        <v>946</v>
      </c>
      <c r="B238" s="59" t="s">
        <v>947</v>
      </c>
      <c r="C238" s="14" t="s">
        <v>927</v>
      </c>
      <c r="D238" s="12" t="s">
        <v>169</v>
      </c>
      <c r="E238" s="8">
        <v>45923.0</v>
      </c>
      <c r="F238" s="15" t="s">
        <v>948</v>
      </c>
      <c r="G238" s="16" t="s">
        <v>949</v>
      </c>
      <c r="H238" s="17" t="str">
        <f>HYPERLINK("https://drive.google.com/file/d/10q4lHLBh2IiX_HHkR7xz2ldGIapx0oTH/view?usp=drivesdk","Certificado_Capacitação_Lavagem_de_Mãos_CERT-20251008-172033-MXKA")</f>
        <v>Certificado_Capacitação_Lavagem_de_Mãos_CERT-20251008-172033-MXKA</v>
      </c>
    </row>
    <row r="239" ht="22.5" customHeight="1">
      <c r="A239" s="42" t="s">
        <v>950</v>
      </c>
      <c r="B239" s="58" t="s">
        <v>951</v>
      </c>
      <c r="C239" s="6" t="s">
        <v>927</v>
      </c>
      <c r="D239" s="4" t="s">
        <v>169</v>
      </c>
      <c r="E239" s="8">
        <v>45923.0</v>
      </c>
      <c r="F239" s="9" t="s">
        <v>952</v>
      </c>
      <c r="G239" s="10" t="s">
        <v>953</v>
      </c>
      <c r="H239" s="11" t="str">
        <f>HYPERLINK("https://drive.google.com/file/d/10F5zMzehQ-LieGo5ztvCLA7KJFr6srBK/view?usp=drivesdk","Certificado_Capacitação_Lavagem_de_Mãos_CERT-20251008-172033-LTPS")</f>
        <v>Certificado_Capacitação_Lavagem_de_Mãos_CERT-20251008-172033-LTPS</v>
      </c>
    </row>
    <row r="240" ht="22.5" customHeight="1">
      <c r="A240" s="44" t="s">
        <v>954</v>
      </c>
      <c r="B240" s="59" t="s">
        <v>955</v>
      </c>
      <c r="C240" s="14" t="s">
        <v>927</v>
      </c>
      <c r="D240" s="12" t="s">
        <v>169</v>
      </c>
      <c r="E240" s="8">
        <v>45923.0</v>
      </c>
      <c r="F240" s="15" t="s">
        <v>956</v>
      </c>
      <c r="G240" s="16" t="s">
        <v>957</v>
      </c>
      <c r="H240" s="17" t="str">
        <f>HYPERLINK("https://drive.google.com/file/d/17pMvS2eTJQ9pDiLGPL3dbv2bjeuExAUB/view?usp=drivesdk","Certificado_Capacitação_Lavagem_de_Mãos_CERT-20251008-172033-TX5I")</f>
        <v>Certificado_Capacitação_Lavagem_de_Mãos_CERT-20251008-172033-TX5I</v>
      </c>
    </row>
    <row r="241" ht="22.5" customHeight="1">
      <c r="A241" s="42" t="s">
        <v>958</v>
      </c>
      <c r="B241" s="58" t="s">
        <v>959</v>
      </c>
      <c r="C241" s="6" t="s">
        <v>927</v>
      </c>
      <c r="D241" s="4" t="s">
        <v>169</v>
      </c>
      <c r="E241" s="8">
        <v>45923.0</v>
      </c>
      <c r="F241" s="9" t="s">
        <v>960</v>
      </c>
      <c r="G241" s="10" t="s">
        <v>961</v>
      </c>
      <c r="H241" s="11" t="str">
        <f>HYPERLINK("https://drive.google.com/file/d/1Tqwxi-VRgSRIvfHj3FyrC1SVm6gue_AE/view?usp=drivesdk","Certificado_Capacitação_Lavagem_de_Mãos_CERT-20251008-172033-7X7N")</f>
        <v>Certificado_Capacitação_Lavagem_de_Mãos_CERT-20251008-172033-7X7N</v>
      </c>
    </row>
    <row r="242" ht="22.5" customHeight="1">
      <c r="A242" s="44" t="s">
        <v>962</v>
      </c>
      <c r="B242" s="59" t="s">
        <v>963</v>
      </c>
      <c r="C242" s="14" t="s">
        <v>927</v>
      </c>
      <c r="D242" s="12" t="s">
        <v>169</v>
      </c>
      <c r="E242" s="8">
        <v>45923.0</v>
      </c>
      <c r="F242" s="15" t="s">
        <v>964</v>
      </c>
      <c r="G242" s="16" t="s">
        <v>965</v>
      </c>
      <c r="H242" s="17" t="str">
        <f>HYPERLINK("https://drive.google.com/file/d/1XqpUflk02J-TnYo67sU3PvZ_VEG25S87/view?usp=drivesdk","Certificado_Capacitação_Lavagem_de_Mãos_CERT-20251008-172033-QZ7Y")</f>
        <v>Certificado_Capacitação_Lavagem_de_Mãos_CERT-20251008-172033-QZ7Y</v>
      </c>
    </row>
    <row r="243" ht="22.5" customHeight="1">
      <c r="A243" s="42" t="s">
        <v>966</v>
      </c>
      <c r="B243" s="58" t="s">
        <v>967</v>
      </c>
      <c r="C243" s="6" t="s">
        <v>927</v>
      </c>
      <c r="D243" s="4" t="s">
        <v>169</v>
      </c>
      <c r="E243" s="8">
        <v>45923.0</v>
      </c>
      <c r="F243" s="9" t="s">
        <v>968</v>
      </c>
      <c r="G243" s="10" t="s">
        <v>969</v>
      </c>
      <c r="H243" s="11" t="str">
        <f>HYPERLINK("https://drive.google.com/file/d/1OaO7dF34qmenE3B80Pc9lN6F-PRRrXrN/view?usp=drivesdk","Certificado_Capacitação_Lavagem_de_Mãos_CERT-20251008-172033-VCPI")</f>
        <v>Certificado_Capacitação_Lavagem_de_Mãos_CERT-20251008-172033-VCPI</v>
      </c>
    </row>
    <row r="244" ht="22.5" customHeight="1">
      <c r="A244" s="44" t="s">
        <v>970</v>
      </c>
      <c r="B244" s="59" t="s">
        <v>971</v>
      </c>
      <c r="C244" s="14" t="s">
        <v>927</v>
      </c>
      <c r="D244" s="12" t="s">
        <v>169</v>
      </c>
      <c r="E244" s="8">
        <v>45923.0</v>
      </c>
      <c r="F244" s="15" t="s">
        <v>972</v>
      </c>
      <c r="G244" s="16" t="s">
        <v>973</v>
      </c>
      <c r="H244" s="17" t="str">
        <f>HYPERLINK("https://drive.google.com/file/d/1uvD0LUOCjJXnC77wzXgUk24yJ27LkM7z/view?usp=drivesdk","Certificado_Capacitação_Lavagem_de_Mãos_CERT-20251008-172033-RNFV")</f>
        <v>Certificado_Capacitação_Lavagem_de_Mãos_CERT-20251008-172033-RNFV</v>
      </c>
    </row>
    <row r="245" ht="22.5" customHeight="1">
      <c r="A245" s="42" t="s">
        <v>974</v>
      </c>
      <c r="B245" s="58" t="s">
        <v>975</v>
      </c>
      <c r="C245" s="6" t="s">
        <v>927</v>
      </c>
      <c r="D245" s="4" t="s">
        <v>169</v>
      </c>
      <c r="E245" s="8">
        <v>45923.0</v>
      </c>
      <c r="F245" s="9" t="s">
        <v>976</v>
      </c>
      <c r="G245" s="10" t="s">
        <v>977</v>
      </c>
      <c r="H245" s="11" t="str">
        <f>HYPERLINK("https://drive.google.com/file/d/1hZpVM6aaWnrOOeOyWJvjlm5j76ovTA3H/view?usp=drivesdk","Certificado_Capacitação_Lavagem_de_Mãos_CERT-20251008-172033-926O")</f>
        <v>Certificado_Capacitação_Lavagem_de_Mãos_CERT-20251008-172033-926O</v>
      </c>
    </row>
    <row r="246" ht="22.5" customHeight="1">
      <c r="A246" s="44" t="s">
        <v>978</v>
      </c>
      <c r="B246" s="59" t="s">
        <v>979</v>
      </c>
      <c r="C246" s="14" t="s">
        <v>927</v>
      </c>
      <c r="D246" s="12" t="s">
        <v>169</v>
      </c>
      <c r="E246" s="8">
        <v>45923.0</v>
      </c>
      <c r="F246" s="15" t="s">
        <v>980</v>
      </c>
      <c r="G246" s="16" t="s">
        <v>981</v>
      </c>
      <c r="H246" s="17" t="str">
        <f>HYPERLINK("https://drive.google.com/file/d/1jXcJD_ManRREptnYjldmFYigJOuiolUc/view?usp=drivesdk","Certificado_Capacitação_Lavagem_de_Mãos_CERT-20251008-172033-X2QM")</f>
        <v>Certificado_Capacitação_Lavagem_de_Mãos_CERT-20251008-172033-X2QM</v>
      </c>
    </row>
    <row r="247" ht="22.5" customHeight="1">
      <c r="A247" s="42" t="s">
        <v>982</v>
      </c>
      <c r="B247" s="58" t="s">
        <v>983</v>
      </c>
      <c r="C247" s="6" t="s">
        <v>927</v>
      </c>
      <c r="D247" s="4" t="s">
        <v>169</v>
      </c>
      <c r="E247" s="8">
        <v>45923.0</v>
      </c>
      <c r="F247" s="9" t="s">
        <v>984</v>
      </c>
      <c r="G247" s="10" t="s">
        <v>985</v>
      </c>
      <c r="H247" s="11" t="str">
        <f>HYPERLINK("https://drive.google.com/file/d/1IezsGaeV1zoFtVBe1DPkjcqYz6XgKnKP/view?usp=drivesdk","Certificado_Capacitação_Lavagem_de_Mãos_CERT-20251008-172033-6QVC")</f>
        <v>Certificado_Capacitação_Lavagem_de_Mãos_CERT-20251008-172033-6QVC</v>
      </c>
    </row>
    <row r="248" ht="22.5" customHeight="1">
      <c r="A248" s="44" t="s">
        <v>986</v>
      </c>
      <c r="B248" s="59" t="s">
        <v>987</v>
      </c>
      <c r="C248" s="14" t="s">
        <v>927</v>
      </c>
      <c r="D248" s="12" t="s">
        <v>169</v>
      </c>
      <c r="E248" s="8">
        <v>45923.0</v>
      </c>
      <c r="F248" s="15" t="s">
        <v>988</v>
      </c>
      <c r="G248" s="16" t="s">
        <v>989</v>
      </c>
      <c r="H248" s="17" t="str">
        <f>HYPERLINK("https://drive.google.com/file/d/1M6Jraz3YyFXdPkv84jF4IlB2xNsSNGyb/view?usp=drivesdk","Certificado_Capacitação_Lavagem_de_Mãos_CERT-20251008-172033-TPUA")</f>
        <v>Certificado_Capacitação_Lavagem_de_Mãos_CERT-20251008-172033-TPUA</v>
      </c>
    </row>
    <row r="249" ht="22.5" customHeight="1">
      <c r="A249" s="42" t="s">
        <v>990</v>
      </c>
      <c r="B249" s="58" t="s">
        <v>991</v>
      </c>
      <c r="C249" s="6" t="s">
        <v>927</v>
      </c>
      <c r="D249" s="4" t="s">
        <v>169</v>
      </c>
      <c r="E249" s="8">
        <v>45923.0</v>
      </c>
      <c r="F249" s="9" t="s">
        <v>992</v>
      </c>
      <c r="G249" s="10" t="s">
        <v>993</v>
      </c>
      <c r="H249" s="11" t="str">
        <f>HYPERLINK("https://drive.google.com/file/d/1bzNi3fPu53PLX8H1fsM62ExlGBHSl1rt/view?usp=drivesdk","Certificado_Capacitação_Lavagem_de_Mãos_CERT-20251008-172033-718B")</f>
        <v>Certificado_Capacitação_Lavagem_de_Mãos_CERT-20251008-172033-718B</v>
      </c>
    </row>
    <row r="250" ht="22.5" customHeight="1">
      <c r="A250" s="44" t="s">
        <v>994</v>
      </c>
      <c r="B250" s="59" t="s">
        <v>217</v>
      </c>
      <c r="C250" s="14" t="s">
        <v>927</v>
      </c>
      <c r="D250" s="12" t="s">
        <v>169</v>
      </c>
      <c r="E250" s="8">
        <v>45923.0</v>
      </c>
      <c r="F250" s="15" t="s">
        <v>995</v>
      </c>
      <c r="G250" s="16" t="s">
        <v>996</v>
      </c>
      <c r="H250" s="17" t="str">
        <f>HYPERLINK("https://drive.google.com/file/d/1gqJcO3EvOLNBlvFSf_jMuzQWEpOQBpMr/view?usp=drivesdk","Certificado_Capacitação_Lavagem_de_Mãos_CERT-20251008-172033-MRW0")</f>
        <v>Certificado_Capacitação_Lavagem_de_Mãos_CERT-20251008-172033-MRW0</v>
      </c>
    </row>
    <row r="251" ht="22.5" customHeight="1">
      <c r="A251" s="42" t="s">
        <v>997</v>
      </c>
      <c r="B251" s="58" t="s">
        <v>517</v>
      </c>
      <c r="C251" s="6" t="s">
        <v>927</v>
      </c>
      <c r="D251" s="4" t="s">
        <v>169</v>
      </c>
      <c r="E251" s="8">
        <v>45923.0</v>
      </c>
      <c r="F251" s="9" t="s">
        <v>998</v>
      </c>
      <c r="G251" s="10" t="s">
        <v>999</v>
      </c>
      <c r="H251" s="11" t="str">
        <f>HYPERLINK("https://drive.google.com/file/d/13PDK738ssDdZnVPfCbyL9ekXCpqDFJC8/view?usp=drivesdk","Certificado_Capacitação_Lavagem_de_Mãos_CERT-20251008-172033-NEBI")</f>
        <v>Certificado_Capacitação_Lavagem_de_Mãos_CERT-20251008-172033-NEBI</v>
      </c>
    </row>
    <row r="252" ht="22.5" customHeight="1">
      <c r="A252" s="44" t="s">
        <v>1000</v>
      </c>
      <c r="B252" s="59" t="s">
        <v>1001</v>
      </c>
      <c r="C252" s="14" t="s">
        <v>927</v>
      </c>
      <c r="D252" s="12" t="s">
        <v>169</v>
      </c>
      <c r="E252" s="8">
        <v>45923.0</v>
      </c>
      <c r="F252" s="15" t="s">
        <v>1002</v>
      </c>
      <c r="G252" s="16" t="s">
        <v>1003</v>
      </c>
      <c r="H252" s="17" t="str">
        <f>HYPERLINK("https://drive.google.com/file/d/10Eec8mgdA_zTUbvAVQqcoKDi0wib5fbX/view?usp=drivesdk","Certificado_Capacitação_Lavagem_de_Mãos_CERT-20251008-172033-S09H")</f>
        <v>Certificado_Capacitação_Lavagem_de_Mãos_CERT-20251008-172033-S09H</v>
      </c>
    </row>
    <row r="253" ht="22.5" customHeight="1">
      <c r="A253" s="42" t="s">
        <v>1004</v>
      </c>
      <c r="B253" s="58" t="s">
        <v>1005</v>
      </c>
      <c r="C253" s="6" t="s">
        <v>927</v>
      </c>
      <c r="D253" s="4" t="s">
        <v>169</v>
      </c>
      <c r="E253" s="8">
        <v>45923.0</v>
      </c>
      <c r="F253" s="9" t="s">
        <v>1006</v>
      </c>
      <c r="G253" s="10" t="s">
        <v>1007</v>
      </c>
      <c r="H253" s="11" t="str">
        <f>HYPERLINK("https://drive.google.com/file/d/1t9Xv1o1gRn3QvQEJaZY7Sycra8z5_8R8/view?usp=drivesdk","Certificado_Capacitação_Lavagem_de_Mãos_CERT-20251008-172033-H35E")</f>
        <v>Certificado_Capacitação_Lavagem_de_Mãos_CERT-20251008-172033-H35E</v>
      </c>
    </row>
    <row r="254" ht="22.5" customHeight="1">
      <c r="A254" s="44" t="s">
        <v>1008</v>
      </c>
      <c r="B254" s="59" t="s">
        <v>923</v>
      </c>
      <c r="C254" s="14" t="s">
        <v>927</v>
      </c>
      <c r="D254" s="12" t="s">
        <v>169</v>
      </c>
      <c r="E254" s="8">
        <v>45923.0</v>
      </c>
      <c r="F254" s="15" t="s">
        <v>1009</v>
      </c>
      <c r="G254" s="16" t="s">
        <v>1010</v>
      </c>
      <c r="H254" s="17" t="str">
        <f>HYPERLINK("https://drive.google.com/file/d/1RZNmqwEb_ewIefWRKVfM1jfF688epKKg/view?usp=drivesdk","Certificado_Capacitação_Lavagem_de_Mãos_CERT-20251008-172033-IZAN")</f>
        <v>Certificado_Capacitação_Lavagem_de_Mãos_CERT-20251008-172033-IZAN</v>
      </c>
    </row>
    <row r="255" ht="22.5" customHeight="1">
      <c r="A255" s="42" t="s">
        <v>1011</v>
      </c>
      <c r="B255" s="58" t="s">
        <v>1012</v>
      </c>
      <c r="C255" s="6" t="s">
        <v>927</v>
      </c>
      <c r="D255" s="4" t="s">
        <v>169</v>
      </c>
      <c r="E255" s="8">
        <v>45923.0</v>
      </c>
      <c r="F255" s="9" t="s">
        <v>1013</v>
      </c>
      <c r="G255" s="10" t="s">
        <v>1014</v>
      </c>
      <c r="H255" s="11" t="str">
        <f>HYPERLINK("https://drive.google.com/file/d/1xM15eS386pT52fAAqYi8OhtA3KVCz-U-/view?usp=drivesdk","Certificado_Capacitação_Lavagem_de_Mãos_CERT-20251008-172033-RBHF")</f>
        <v>Certificado_Capacitação_Lavagem_de_Mãos_CERT-20251008-172033-RBHF</v>
      </c>
    </row>
    <row r="256" ht="22.5" customHeight="1">
      <c r="A256" s="44" t="s">
        <v>1015</v>
      </c>
      <c r="B256" s="59" t="s">
        <v>1016</v>
      </c>
      <c r="C256" s="14" t="s">
        <v>927</v>
      </c>
      <c r="D256" s="12" t="s">
        <v>169</v>
      </c>
      <c r="E256" s="8">
        <v>45923.0</v>
      </c>
      <c r="F256" s="15" t="s">
        <v>1017</v>
      </c>
      <c r="G256" s="16" t="s">
        <v>1018</v>
      </c>
      <c r="H256" s="17" t="str">
        <f>HYPERLINK("https://drive.google.com/file/d/1_uUYOMuquFEWKohudhG77OsMWDrIan_x/view?usp=drivesdk","Certificado_Capacitação_Lavagem_de_Mãos_CERT-20251008-172033-NX5Y")</f>
        <v>Certificado_Capacitação_Lavagem_de_Mãos_CERT-20251008-172033-NX5Y</v>
      </c>
    </row>
    <row r="257" ht="22.5" customHeight="1">
      <c r="A257" s="42" t="s">
        <v>1019</v>
      </c>
      <c r="B257" s="58" t="s">
        <v>1020</v>
      </c>
      <c r="C257" s="6" t="s">
        <v>927</v>
      </c>
      <c r="D257" s="4" t="s">
        <v>169</v>
      </c>
      <c r="E257" s="8">
        <v>45923.0</v>
      </c>
      <c r="F257" s="9" t="s">
        <v>1021</v>
      </c>
      <c r="G257" s="10" t="s">
        <v>1022</v>
      </c>
      <c r="H257" s="11" t="str">
        <f>HYPERLINK("https://drive.google.com/file/d/19aPtZsb8qUipzosQY3Zg5lJeBPMFvQZz/view?usp=drivesdk","Certificado_Capacitação_Lavagem_de_Mãos_CERT-20251008-172033-R3WT")</f>
        <v>Certificado_Capacitação_Lavagem_de_Mãos_CERT-20251008-172033-R3WT</v>
      </c>
    </row>
    <row r="258" ht="22.5" customHeight="1">
      <c r="A258" s="44" t="s">
        <v>1023</v>
      </c>
      <c r="B258" s="59" t="s">
        <v>1024</v>
      </c>
      <c r="C258" s="14" t="s">
        <v>927</v>
      </c>
      <c r="D258" s="12" t="s">
        <v>169</v>
      </c>
      <c r="E258" s="8">
        <v>45923.0</v>
      </c>
      <c r="F258" s="15" t="s">
        <v>1025</v>
      </c>
      <c r="G258" s="16" t="s">
        <v>1026</v>
      </c>
      <c r="H258" s="17" t="str">
        <f>HYPERLINK("https://drive.google.com/file/d/1e3Np1AWIqpUrVOHWZvDsDu_uX4Elfyyo/view?usp=drivesdk","Certificado_Capacitação_Lavagem_de_Mãos_CERT-20251008-172033-XV71")</f>
        <v>Certificado_Capacitação_Lavagem_de_Mãos_CERT-20251008-172033-XV71</v>
      </c>
    </row>
    <row r="259" ht="22.5" customHeight="1">
      <c r="A259" s="42" t="s">
        <v>1027</v>
      </c>
      <c r="B259" s="58" t="s">
        <v>1028</v>
      </c>
      <c r="C259" s="6" t="s">
        <v>927</v>
      </c>
      <c r="D259" s="4" t="s">
        <v>169</v>
      </c>
      <c r="E259" s="8">
        <v>45923.0</v>
      </c>
      <c r="F259" s="9" t="s">
        <v>1029</v>
      </c>
      <c r="G259" s="10" t="s">
        <v>1030</v>
      </c>
      <c r="H259" s="11" t="str">
        <f>HYPERLINK("https://drive.google.com/file/d/1IHxJ0EsDI3LPh4Uxmj1Scde2IBy6aP48/view?usp=drivesdk","Certificado_Capacitação_Lavagem_de_Mãos_CERT-20251008-172033-HI3W")</f>
        <v>Certificado_Capacitação_Lavagem_de_Mãos_CERT-20251008-172033-HI3W</v>
      </c>
    </row>
    <row r="260" ht="22.5" customHeight="1">
      <c r="A260" s="44" t="s">
        <v>1031</v>
      </c>
      <c r="B260" s="59" t="s">
        <v>859</v>
      </c>
      <c r="C260" s="14" t="s">
        <v>927</v>
      </c>
      <c r="D260" s="12" t="s">
        <v>169</v>
      </c>
      <c r="E260" s="8">
        <v>45923.0</v>
      </c>
      <c r="F260" s="15" t="s">
        <v>1032</v>
      </c>
      <c r="G260" s="16" t="s">
        <v>1033</v>
      </c>
      <c r="H260" s="17" t="str">
        <f>HYPERLINK("https://drive.google.com/file/d/1Su05NE3NbUhZ1PYcA3KmNQoKLpc2aS2m/view?usp=drivesdk","Certificado_Capacitação_Lavagem_de_Mãos_CERT-20251008-172033-T19A")</f>
        <v>Certificado_Capacitação_Lavagem_de_Mãos_CERT-20251008-172033-T19A</v>
      </c>
    </row>
    <row r="261" ht="22.5" customHeight="1">
      <c r="A261" s="42" t="s">
        <v>1034</v>
      </c>
      <c r="B261" s="58" t="s">
        <v>1035</v>
      </c>
      <c r="C261" s="6" t="s">
        <v>927</v>
      </c>
      <c r="D261" s="4" t="s">
        <v>169</v>
      </c>
      <c r="E261" s="8">
        <v>45923.0</v>
      </c>
      <c r="F261" s="9" t="s">
        <v>1036</v>
      </c>
      <c r="G261" s="10" t="s">
        <v>1037</v>
      </c>
      <c r="H261" s="11" t="str">
        <f>HYPERLINK("https://drive.google.com/file/d/1Oi-yDm2wO7VQZ86IaE7VhSnEhLqZLbrv/view?usp=drivesdk","Certificado_Capacitação_Lavagem_de_Mãos_CERT-20251008-172033-ZCZ9")</f>
        <v>Certificado_Capacitação_Lavagem_de_Mãos_CERT-20251008-172033-ZCZ9</v>
      </c>
    </row>
    <row r="262" ht="22.5" customHeight="1">
      <c r="A262" s="60" t="s">
        <v>1038</v>
      </c>
      <c r="B262" s="61" t="s">
        <v>1039</v>
      </c>
      <c r="C262" s="48" t="s">
        <v>927</v>
      </c>
      <c r="D262" s="49" t="s">
        <v>169</v>
      </c>
      <c r="E262" s="22">
        <v>45923.0</v>
      </c>
      <c r="F262" s="51" t="s">
        <v>1040</v>
      </c>
      <c r="G262" s="52" t="s">
        <v>1041</v>
      </c>
      <c r="H262" s="53" t="str">
        <f>HYPERLINK("https://drive.google.com/file/d/1_PWuP4fH3FUZ2SpPUb856huqoD-_Ty9K/view?usp=drivesdk","Certificado_Capacitação_Lavagem_de_Mãos_CERT-20251008-172033-06ID")</f>
        <v>Certificado_Capacitação_Lavagem_de_Mãos_CERT-20251008-172033-06ID</v>
      </c>
    </row>
    <row r="263" ht="22.5" customHeight="1">
      <c r="A263" s="62" t="s">
        <v>1042</v>
      </c>
      <c r="B263" s="58" t="s">
        <v>1043</v>
      </c>
      <c r="C263" s="63" t="s">
        <v>1044</v>
      </c>
      <c r="D263" s="7" t="s">
        <v>1045</v>
      </c>
      <c r="E263" s="64">
        <v>45973.0</v>
      </c>
      <c r="F263" s="9" t="s">
        <v>1046</v>
      </c>
      <c r="G263" s="10" t="s">
        <v>1047</v>
      </c>
      <c r="H263" s="11" t="str">
        <f>HYPERLINK("https://drive.google.com/file/d/1wFNrmQ8zuhN6lsCjHYfqWIW2Fs_lpRDz/view?usp=drivesdk","Certificado_Cuidados_Estomias_CERT-20251117-164343-ORSV")</f>
        <v>Certificado_Cuidados_Estomias_CERT-20251117-164343-ORSV</v>
      </c>
    </row>
    <row r="264" ht="22.5" customHeight="1">
      <c r="A264" s="65" t="s">
        <v>1048</v>
      </c>
      <c r="B264" s="59" t="s">
        <v>1049</v>
      </c>
      <c r="C264" s="63" t="s">
        <v>1044</v>
      </c>
      <c r="D264" s="7" t="s">
        <v>663</v>
      </c>
      <c r="E264" s="64">
        <v>45973.0</v>
      </c>
      <c r="F264" s="15" t="s">
        <v>1050</v>
      </c>
      <c r="G264" s="16" t="s">
        <v>1051</v>
      </c>
      <c r="H264" s="17" t="str">
        <f>HYPERLINK("https://drive.google.com/file/d/1N_0unwTcQhg_NW-FonPkgfAfaEZacqmQ/view?usp=drivesdk","Certificado_Cuidados_Estomias_CERT-20251117-164343-WVG8")</f>
        <v>Certificado_Cuidados_Estomias_CERT-20251117-164343-WVG8</v>
      </c>
    </row>
    <row r="265" ht="22.5" customHeight="1">
      <c r="A265" s="66" t="s">
        <v>1052</v>
      </c>
      <c r="B265" s="58" t="s">
        <v>1053</v>
      </c>
      <c r="C265" s="63" t="s">
        <v>1044</v>
      </c>
      <c r="D265" s="7" t="s">
        <v>663</v>
      </c>
      <c r="E265" s="64">
        <v>45973.0</v>
      </c>
      <c r="F265" s="9" t="s">
        <v>1054</v>
      </c>
      <c r="G265" s="10" t="s">
        <v>1055</v>
      </c>
      <c r="H265" s="11" t="str">
        <f>HYPERLINK("https://drive.google.com/file/d/1NHNbEwxUFM8IwOf9uSjpdINqnSLy23xl/view?usp=drivesdk","Certificado_Cuidados_Estomias_CERT-20251117-164343-2Y3L")</f>
        <v>Certificado_Cuidados_Estomias_CERT-20251117-164343-2Y3L</v>
      </c>
    </row>
    <row r="266" ht="22.5" customHeight="1">
      <c r="A266" s="65" t="s">
        <v>1056</v>
      </c>
      <c r="B266" s="59" t="s">
        <v>1057</v>
      </c>
      <c r="C266" s="63" t="s">
        <v>1044</v>
      </c>
      <c r="D266" s="7" t="s">
        <v>663</v>
      </c>
      <c r="E266" s="64">
        <v>45973.0</v>
      </c>
      <c r="F266" s="15" t="s">
        <v>1058</v>
      </c>
      <c r="G266" s="16" t="s">
        <v>1059</v>
      </c>
      <c r="H266" s="17" t="str">
        <f>HYPERLINK("https://drive.google.com/file/d/1yfHPbmakgopyUjC8LcarhdQiYvyLgxH_/view?usp=drivesdk","Certificado_Cuidados_Estomias_CERT-20251117-164343-ZMGO")</f>
        <v>Certificado_Cuidados_Estomias_CERT-20251117-164343-ZMGO</v>
      </c>
    </row>
    <row r="267" ht="22.5" customHeight="1">
      <c r="A267" s="66" t="s">
        <v>1060</v>
      </c>
      <c r="B267" s="58" t="s">
        <v>1061</v>
      </c>
      <c r="C267" s="63" t="s">
        <v>1044</v>
      </c>
      <c r="D267" s="7" t="s">
        <v>663</v>
      </c>
      <c r="E267" s="64">
        <v>45973.0</v>
      </c>
      <c r="F267" s="9" t="s">
        <v>1062</v>
      </c>
      <c r="G267" s="10" t="s">
        <v>1063</v>
      </c>
      <c r="H267" s="11" t="str">
        <f>HYPERLINK("https://drive.google.com/file/d/1DXoZkNqwpyqkc4E5YfH3jl50LWXeZjaC/view?usp=drivesdk","Certificado_Cuidados_Estomias_CERT-20251117-164343-G2KD")</f>
        <v>Certificado_Cuidados_Estomias_CERT-20251117-164343-G2KD</v>
      </c>
    </row>
    <row r="268" ht="22.5" customHeight="1">
      <c r="A268" s="65" t="s">
        <v>1064</v>
      </c>
      <c r="B268" s="59" t="s">
        <v>1065</v>
      </c>
      <c r="C268" s="63" t="s">
        <v>1044</v>
      </c>
      <c r="D268" s="7" t="s">
        <v>663</v>
      </c>
      <c r="E268" s="64">
        <v>45973.0</v>
      </c>
      <c r="F268" s="15" t="s">
        <v>1066</v>
      </c>
      <c r="G268" s="16" t="s">
        <v>1067</v>
      </c>
      <c r="H268" s="17" t="str">
        <f>HYPERLINK("https://drive.google.com/file/d/1vczPNA5gl6UzPFGntFIbjpAKwkqUE32U/view?usp=drivesdk","Certificado_Cuidados_Estomias_CERT-20251117-164343-0FEH")</f>
        <v>Certificado_Cuidados_Estomias_CERT-20251117-164343-0FEH</v>
      </c>
    </row>
    <row r="269" ht="22.5" customHeight="1">
      <c r="A269" s="66" t="s">
        <v>1068</v>
      </c>
      <c r="B269" s="58" t="s">
        <v>1069</v>
      </c>
      <c r="C269" s="63" t="s">
        <v>1044</v>
      </c>
      <c r="D269" s="7" t="s">
        <v>663</v>
      </c>
      <c r="E269" s="64">
        <v>45973.0</v>
      </c>
      <c r="F269" s="9" t="s">
        <v>1070</v>
      </c>
      <c r="G269" s="10" t="s">
        <v>1071</v>
      </c>
      <c r="H269" s="11" t="str">
        <f>HYPERLINK("https://drive.google.com/file/d/1vcELYpUbR2kEMeqi-UFR2j4NSDN9CeVo/view?usp=drivesdk","Certificado_Cuidados_Estomias_CERT-20251117-164343-CZ4R")</f>
        <v>Certificado_Cuidados_Estomias_CERT-20251117-164343-CZ4R</v>
      </c>
    </row>
    <row r="270" ht="22.5" customHeight="1">
      <c r="A270" s="65" t="s">
        <v>1072</v>
      </c>
      <c r="B270" s="59" t="s">
        <v>1073</v>
      </c>
      <c r="C270" s="63" t="s">
        <v>1044</v>
      </c>
      <c r="D270" s="7" t="s">
        <v>663</v>
      </c>
      <c r="E270" s="64">
        <v>45973.0</v>
      </c>
      <c r="F270" s="15" t="s">
        <v>1074</v>
      </c>
      <c r="G270" s="16" t="s">
        <v>1075</v>
      </c>
      <c r="H270" s="17" t="str">
        <f>HYPERLINK("https://drive.google.com/file/d/1Xt25a-K5MTFFARC5vZDvumVjCE6jROQp/view?usp=drivesdk","Certificado_Cuidados_Estomias_CERT-20251117-164343-93ML")</f>
        <v>Certificado_Cuidados_Estomias_CERT-20251117-164343-93ML</v>
      </c>
    </row>
    <row r="271" ht="22.5" customHeight="1">
      <c r="A271" s="66" t="s">
        <v>1076</v>
      </c>
      <c r="B271" s="58" t="s">
        <v>1077</v>
      </c>
      <c r="C271" s="63" t="s">
        <v>1044</v>
      </c>
      <c r="D271" s="7" t="s">
        <v>663</v>
      </c>
      <c r="E271" s="64">
        <v>45973.0</v>
      </c>
      <c r="F271" s="9" t="s">
        <v>1078</v>
      </c>
      <c r="G271" s="10" t="s">
        <v>1079</v>
      </c>
      <c r="H271" s="11" t="str">
        <f>HYPERLINK("https://drive.google.com/file/d/1Bzee6eu5emYM7T6jAZskA1RFYDhKaCKZ/view?usp=drivesdk","Certificado_Cuidados_Estomias_CERT-20251117-164343-IY8B")</f>
        <v>Certificado_Cuidados_Estomias_CERT-20251117-164343-IY8B</v>
      </c>
    </row>
    <row r="272" ht="22.5" customHeight="1">
      <c r="A272" s="65" t="s">
        <v>1080</v>
      </c>
      <c r="B272" s="59" t="s">
        <v>1081</v>
      </c>
      <c r="C272" s="63" t="s">
        <v>1044</v>
      </c>
      <c r="D272" s="7" t="s">
        <v>663</v>
      </c>
      <c r="E272" s="64">
        <v>45973.0</v>
      </c>
      <c r="F272" s="15" t="s">
        <v>1082</v>
      </c>
      <c r="G272" s="16" t="s">
        <v>1083</v>
      </c>
      <c r="H272" s="17" t="str">
        <f>HYPERLINK("https://drive.google.com/file/d/1FnmUUqPHU89xHYtdhI1-wJoaRXTUHxBl/view?usp=drivesdk","Certificado_Cuidados_Estomias_CERT-20251117-164343-0D7Y")</f>
        <v>Certificado_Cuidados_Estomias_CERT-20251117-164343-0D7Y</v>
      </c>
    </row>
    <row r="273" ht="22.5" customHeight="1">
      <c r="A273" s="66" t="s">
        <v>1084</v>
      </c>
      <c r="B273" s="58" t="s">
        <v>1085</v>
      </c>
      <c r="C273" s="63" t="s">
        <v>1044</v>
      </c>
      <c r="D273" s="7" t="s">
        <v>663</v>
      </c>
      <c r="E273" s="64">
        <v>45973.0</v>
      </c>
      <c r="F273" s="9" t="s">
        <v>1086</v>
      </c>
      <c r="G273" s="10" t="s">
        <v>1087</v>
      </c>
      <c r="H273" s="11" t="str">
        <f>HYPERLINK("https://drive.google.com/file/d/1UR08ESMibTavCBkd1G_KeD1XlORQXqpd/view?usp=drivesdk","Certificado_Cuidados_Estomias_CERT-20251117-164343-HBQ3")</f>
        <v>Certificado_Cuidados_Estomias_CERT-20251117-164343-HBQ3</v>
      </c>
    </row>
    <row r="274" ht="22.5" customHeight="1">
      <c r="A274" s="65" t="s">
        <v>1088</v>
      </c>
      <c r="B274" s="59" t="s">
        <v>1089</v>
      </c>
      <c r="C274" s="63" t="s">
        <v>1044</v>
      </c>
      <c r="D274" s="7" t="s">
        <v>663</v>
      </c>
      <c r="E274" s="64">
        <v>45973.0</v>
      </c>
      <c r="F274" s="15" t="s">
        <v>1090</v>
      </c>
      <c r="G274" s="16" t="s">
        <v>1091</v>
      </c>
      <c r="H274" s="17" t="str">
        <f>HYPERLINK("https://drive.google.com/file/d/1LCMvoKiuBI5ppVgHwk43mhV0Glu8bEww/view?usp=drivesdk","Certificado_Cuidados_Estomias_CERT-20251117-164343-YSYC")</f>
        <v>Certificado_Cuidados_Estomias_CERT-20251117-164343-YSYC</v>
      </c>
    </row>
    <row r="275" ht="22.5" customHeight="1">
      <c r="A275" s="66" t="s">
        <v>1092</v>
      </c>
      <c r="B275" s="58" t="s">
        <v>1093</v>
      </c>
      <c r="C275" s="63" t="s">
        <v>1044</v>
      </c>
      <c r="D275" s="7" t="s">
        <v>663</v>
      </c>
      <c r="E275" s="64">
        <v>45973.0</v>
      </c>
      <c r="F275" s="9" t="s">
        <v>1094</v>
      </c>
      <c r="G275" s="10" t="s">
        <v>1095</v>
      </c>
      <c r="H275" s="11" t="str">
        <f>HYPERLINK("https://drive.google.com/file/d/1FMTUPZfgVzXPX0ouaSmYWj9j0cHiFr1h/view?usp=drivesdk","Certificado_Cuidados_Estomias_CERT-20251117-164343-IU5X")</f>
        <v>Certificado_Cuidados_Estomias_CERT-20251117-164343-IU5X</v>
      </c>
    </row>
    <row r="276" ht="22.5" customHeight="1">
      <c r="A276" s="65" t="s">
        <v>1096</v>
      </c>
      <c r="B276" s="59" t="s">
        <v>1097</v>
      </c>
      <c r="C276" s="63" t="s">
        <v>1044</v>
      </c>
      <c r="D276" s="7" t="s">
        <v>663</v>
      </c>
      <c r="E276" s="64">
        <v>45973.0</v>
      </c>
      <c r="F276" s="15" t="s">
        <v>1098</v>
      </c>
      <c r="G276" s="16" t="s">
        <v>1099</v>
      </c>
      <c r="H276" s="17" t="str">
        <f>HYPERLINK("https://drive.google.com/file/d/1g2B-xKPL-AKxXK7GSAsGjqooQWpm0COQ/view?usp=drivesdk","Certificado_Cuidados_Estomias_CERT-20251117-164343-GHEK")</f>
        <v>Certificado_Cuidados_Estomias_CERT-20251117-164343-GHEK</v>
      </c>
    </row>
    <row r="277" ht="22.5" customHeight="1">
      <c r="A277" s="67" t="s">
        <v>1100</v>
      </c>
      <c r="B277" s="68" t="s">
        <v>1101</v>
      </c>
      <c r="C277" s="63" t="s">
        <v>1044</v>
      </c>
      <c r="D277" s="7" t="s">
        <v>663</v>
      </c>
      <c r="E277" s="64">
        <v>45973.0</v>
      </c>
      <c r="F277" s="69" t="s">
        <v>1102</v>
      </c>
      <c r="G277" s="70" t="s">
        <v>1103</v>
      </c>
      <c r="H277" s="71" t="str">
        <f>HYPERLINK("https://drive.google.com/file/d/10a6bV2GlJK7P1HO322KNl1ST8MtA73A7/view?usp=drivesdk","Certificado_Cuidados_Estomias_CERT-20251117-164343-FHBE")</f>
        <v>Certificado_Cuidados_Estomias_CERT-20251117-164343-FHBE</v>
      </c>
    </row>
    <row r="278" ht="22.5" customHeight="1">
      <c r="A278" s="72" t="s">
        <v>1104</v>
      </c>
      <c r="B278" s="73" t="s">
        <v>434</v>
      </c>
      <c r="C278" s="63" t="s">
        <v>1044</v>
      </c>
      <c r="D278" s="7" t="s">
        <v>663</v>
      </c>
      <c r="E278" s="64">
        <v>45973.0</v>
      </c>
      <c r="F278" s="74" t="s">
        <v>1105</v>
      </c>
      <c r="G278" s="75" t="s">
        <v>1106</v>
      </c>
      <c r="H278" s="76" t="s">
        <v>1107</v>
      </c>
    </row>
    <row r="279" ht="22.5" customHeight="1">
      <c r="A279" s="77" t="s">
        <v>1108</v>
      </c>
      <c r="B279" s="78" t="s">
        <v>1109</v>
      </c>
      <c r="C279" s="63" t="s">
        <v>1044</v>
      </c>
      <c r="D279" s="7" t="s">
        <v>663</v>
      </c>
      <c r="E279" s="64">
        <v>45973.0</v>
      </c>
      <c r="F279" s="74" t="s">
        <v>1105</v>
      </c>
      <c r="G279" s="79" t="s">
        <v>1110</v>
      </c>
      <c r="H279" s="76" t="s">
        <v>1111</v>
      </c>
    </row>
    <row r="280" ht="22.5" customHeight="1">
      <c r="A280" s="80" t="s">
        <v>1112</v>
      </c>
      <c r="B280" s="81" t="s">
        <v>848</v>
      </c>
      <c r="C280" s="82" t="s">
        <v>1044</v>
      </c>
      <c r="D280" s="21" t="s">
        <v>663</v>
      </c>
      <c r="E280" s="83">
        <v>45973.0</v>
      </c>
      <c r="F280" s="84" t="s">
        <v>1105</v>
      </c>
      <c r="G280" s="85" t="s">
        <v>1113</v>
      </c>
      <c r="H280" s="86" t="s">
        <v>1114</v>
      </c>
    </row>
    <row r="281" ht="22.5" customHeight="1">
      <c r="A281" s="42" t="s">
        <v>1115</v>
      </c>
      <c r="B281" s="87" t="s">
        <v>1116</v>
      </c>
      <c r="C281" s="6" t="s">
        <v>1117</v>
      </c>
      <c r="D281" s="7" t="s">
        <v>169</v>
      </c>
      <c r="E281" s="8">
        <v>45931.0</v>
      </c>
      <c r="F281" s="9" t="s">
        <v>1118</v>
      </c>
      <c r="G281" s="10" t="s">
        <v>1119</v>
      </c>
      <c r="H281" s="11" t="str">
        <f>HYPERLINK("https://drive.google.com/file/d/1zwED4u89BoVMYg-JBydtzJK0QvzywuQs/view?usp=drivesdk","Certif_Capacitação_Lesão_Pressão_CERT-20251121-083947-GU3M")</f>
        <v>Certif_Capacitação_Lesão_Pressão_CERT-20251121-083947-GU3M</v>
      </c>
    </row>
    <row r="282" ht="22.5" customHeight="1">
      <c r="A282" s="44" t="s">
        <v>1120</v>
      </c>
      <c r="B282" s="88" t="s">
        <v>1121</v>
      </c>
      <c r="C282" s="14" t="s">
        <v>1117</v>
      </c>
      <c r="D282" s="7" t="s">
        <v>169</v>
      </c>
      <c r="E282" s="8">
        <v>45931.0</v>
      </c>
      <c r="F282" s="15" t="s">
        <v>1122</v>
      </c>
      <c r="G282" s="16" t="s">
        <v>1123</v>
      </c>
      <c r="H282" s="17" t="str">
        <f>HYPERLINK("https://drive.google.com/file/d/19DHSDKrFGGbLJmmOnkJu2x8gPQ48-ilJ/view?usp=drivesdk","Certif_Capacitação_Lesão_Pressão_CERT-20251121-083947-SLGU")</f>
        <v>Certif_Capacitação_Lesão_Pressão_CERT-20251121-083947-SLGU</v>
      </c>
    </row>
    <row r="283" ht="22.5" customHeight="1">
      <c r="A283" s="42" t="s">
        <v>1124</v>
      </c>
      <c r="B283" s="87" t="s">
        <v>1125</v>
      </c>
      <c r="C283" s="6" t="s">
        <v>1117</v>
      </c>
      <c r="D283" s="7" t="s">
        <v>169</v>
      </c>
      <c r="E283" s="8">
        <v>45931.0</v>
      </c>
      <c r="F283" s="9" t="s">
        <v>1126</v>
      </c>
      <c r="G283" s="10" t="s">
        <v>1127</v>
      </c>
      <c r="H283" s="11" t="str">
        <f>HYPERLINK("https://drive.google.com/file/d/1aNDphxb7f9-YTKYBdG4Kom466EWVF3Vy/view?usp=drivesdk","Certif_Capacitação_Lesão_Pressão_CERT-20251121-083947-MH28")</f>
        <v>Certif_Capacitação_Lesão_Pressão_CERT-20251121-083947-MH28</v>
      </c>
    </row>
    <row r="284" ht="22.5" customHeight="1">
      <c r="A284" s="44" t="s">
        <v>1128</v>
      </c>
      <c r="B284" s="88" t="s">
        <v>1129</v>
      </c>
      <c r="C284" s="14" t="s">
        <v>1117</v>
      </c>
      <c r="D284" s="7" t="s">
        <v>169</v>
      </c>
      <c r="E284" s="8">
        <v>45931.0</v>
      </c>
      <c r="F284" s="15" t="s">
        <v>1130</v>
      </c>
      <c r="G284" s="16" t="s">
        <v>1131</v>
      </c>
      <c r="H284" s="17" t="str">
        <f>HYPERLINK("https://drive.google.com/file/d/1o2whf3rsAUx7A6lwGM6HqaouJV_EsS-5/view?usp=drivesdk","Certif_Capacitação_Lesão_Pressão_CERT-20251121-083947-IZ0P")</f>
        <v>Certif_Capacitação_Lesão_Pressão_CERT-20251121-083947-IZ0P</v>
      </c>
    </row>
    <row r="285" ht="22.5" customHeight="1">
      <c r="A285" s="42" t="s">
        <v>1132</v>
      </c>
      <c r="B285" s="87" t="s">
        <v>1133</v>
      </c>
      <c r="C285" s="6" t="s">
        <v>1117</v>
      </c>
      <c r="D285" s="7" t="s">
        <v>169</v>
      </c>
      <c r="E285" s="8">
        <v>45931.0</v>
      </c>
      <c r="F285" s="9" t="s">
        <v>1134</v>
      </c>
      <c r="G285" s="10" t="s">
        <v>1135</v>
      </c>
      <c r="H285" s="11" t="str">
        <f>HYPERLINK("https://drive.google.com/file/d/1DGhXc_KY0zMUpODO1Kok-RbK9uJDKiVi/view?usp=drivesdk","Certif_Capacitação_Lesão_Pressão_CERT-20251121-083947-1ZGE")</f>
        <v>Certif_Capacitação_Lesão_Pressão_CERT-20251121-083947-1ZGE</v>
      </c>
    </row>
    <row r="286" ht="22.5" customHeight="1">
      <c r="A286" s="44" t="s">
        <v>1136</v>
      </c>
      <c r="B286" s="88" t="s">
        <v>1137</v>
      </c>
      <c r="C286" s="14" t="s">
        <v>1117</v>
      </c>
      <c r="D286" s="7" t="s">
        <v>169</v>
      </c>
      <c r="E286" s="8">
        <v>45931.0</v>
      </c>
      <c r="F286" s="15" t="s">
        <v>1138</v>
      </c>
      <c r="G286" s="16" t="s">
        <v>1139</v>
      </c>
      <c r="H286" s="17" t="str">
        <f>HYPERLINK("https://drive.google.com/file/d/1hk844IpNnEf-l8rNewUaoLyl3gPXIw0q/view?usp=drivesdk","Certif_Capacitação_Lesão_Pressão_CERT-20251121-083947-EHZ7")</f>
        <v>Certif_Capacitação_Lesão_Pressão_CERT-20251121-083947-EHZ7</v>
      </c>
    </row>
    <row r="287" ht="22.5" customHeight="1">
      <c r="A287" s="89" t="s">
        <v>1140</v>
      </c>
      <c r="B287" s="90" t="s">
        <v>1141</v>
      </c>
      <c r="C287" s="91" t="s">
        <v>1117</v>
      </c>
      <c r="D287" s="7" t="s">
        <v>169</v>
      </c>
      <c r="E287" s="8">
        <v>45931.0</v>
      </c>
      <c r="F287" s="69" t="s">
        <v>1142</v>
      </c>
      <c r="G287" s="35" t="s">
        <v>1143</v>
      </c>
      <c r="H287" s="36" t="str">
        <f>HYPERLINK("https://drive.google.com/file/d/1Urzx3KR4gMdRkg0E-wKRA2pBZXROUoq0/view?usp=drivesdk","Certif_Capacitação_Lesão_Pressão_CERT-20251121-083947-0URK")</f>
        <v>Certif_Capacitação_Lesão_Pressão_CERT-20251121-083947-0URK</v>
      </c>
    </row>
    <row r="288" ht="22.5" customHeight="1">
      <c r="A288" s="92" t="s">
        <v>1144</v>
      </c>
      <c r="B288" s="93" t="s">
        <v>1145</v>
      </c>
      <c r="C288" s="93" t="s">
        <v>1117</v>
      </c>
      <c r="D288" s="94" t="s">
        <v>169</v>
      </c>
      <c r="E288" s="95">
        <v>45932.0</v>
      </c>
      <c r="F288" s="96" t="s">
        <v>1146</v>
      </c>
      <c r="G288" s="97" t="s">
        <v>1147</v>
      </c>
      <c r="H288" s="98" t="str">
        <f>HYPERLINK("https://drive.google.com/file/d/1zt9xAn5Jxb6lw2mYvePNhPCbGn5eVRrF/view?usp=drivesdk","Certif_Capacitação_Lesão_Pressão_CERT-20251121-085505-AUPP")</f>
        <v>Certif_Capacitação_Lesão_Pressão_CERT-20251121-085505-AUPP</v>
      </c>
    </row>
    <row r="289" ht="22.5" customHeight="1">
      <c r="A289" s="99" t="s">
        <v>1148</v>
      </c>
      <c r="B289" s="78" t="s">
        <v>1149</v>
      </c>
      <c r="C289" s="73" t="s">
        <v>1117</v>
      </c>
      <c r="D289" s="7" t="s">
        <v>169</v>
      </c>
      <c r="E289" s="8">
        <v>45932.0</v>
      </c>
      <c r="F289" s="100" t="s">
        <v>1150</v>
      </c>
      <c r="G289" s="101" t="s">
        <v>1151</v>
      </c>
      <c r="H289" s="17" t="str">
        <f>HYPERLINK("https://drive.google.com/file/d/1Xu4Bfjw783qi5VKBRde8AeM2pSF-Suo4/view?usp=drivesdk","Certif_Capacitação_Lesão_Pressão_CERT-20251121-085505-KNUV")</f>
        <v>Certif_Capacitação_Lesão_Pressão_CERT-20251121-085505-KNUV</v>
      </c>
    </row>
    <row r="290" ht="22.5" customHeight="1">
      <c r="A290" s="102" t="s">
        <v>1152</v>
      </c>
      <c r="B290" s="73" t="s">
        <v>1153</v>
      </c>
      <c r="C290" s="73" t="s">
        <v>1117</v>
      </c>
      <c r="D290" s="7" t="s">
        <v>169</v>
      </c>
      <c r="E290" s="8">
        <v>45932.0</v>
      </c>
      <c r="F290" s="103" t="s">
        <v>1154</v>
      </c>
      <c r="G290" s="104" t="s">
        <v>1155</v>
      </c>
      <c r="H290" s="11" t="str">
        <f>HYPERLINK("https://drive.google.com/file/d/1WoU-V1s1t7t4aDJbgog3W3_hXhP6tFpL/view?usp=drivesdk","Certif_Capacitação_Lesão_Pressão_CERT-20251121-085505-TJFD")</f>
        <v>Certif_Capacitação_Lesão_Pressão_CERT-20251121-085505-TJFD</v>
      </c>
    </row>
    <row r="291" ht="22.5" customHeight="1">
      <c r="A291" s="99" t="s">
        <v>1156</v>
      </c>
      <c r="B291" s="78" t="s">
        <v>1157</v>
      </c>
      <c r="C291" s="73" t="s">
        <v>1117</v>
      </c>
      <c r="D291" s="7" t="s">
        <v>169</v>
      </c>
      <c r="E291" s="8">
        <v>45932.0</v>
      </c>
      <c r="F291" s="100" t="s">
        <v>1158</v>
      </c>
      <c r="G291" s="101" t="s">
        <v>1159</v>
      </c>
      <c r="H291" s="17" t="str">
        <f>HYPERLINK("https://drive.google.com/file/d/18ESQB08D7JDMmvCF5e3OJuCsI2FXzlQo/view?usp=drivesdk","Certif_Capacitação_Lesão_Pressão_CERT-20251121-085505-XK6J")</f>
        <v>Certif_Capacitação_Lesão_Pressão_CERT-20251121-085505-XK6J</v>
      </c>
    </row>
    <row r="292" ht="22.5" customHeight="1">
      <c r="A292" s="102" t="s">
        <v>1160</v>
      </c>
      <c r="B292" s="73" t="s">
        <v>1161</v>
      </c>
      <c r="C292" s="73" t="s">
        <v>1117</v>
      </c>
      <c r="D292" s="7" t="s">
        <v>169</v>
      </c>
      <c r="E292" s="8">
        <v>45932.0</v>
      </c>
      <c r="F292" s="103" t="s">
        <v>1162</v>
      </c>
      <c r="G292" s="104" t="s">
        <v>1163</v>
      </c>
      <c r="H292" s="11" t="str">
        <f>HYPERLINK("https://drive.google.com/file/d/19ZSbev-i6y_tCAMCHE7giB55R0J6YBhc/view?usp=drivesdk","Certif_Capacitação_Lesão_Pressão_CERT-20251121-085505-QPG5")</f>
        <v>Certif_Capacitação_Lesão_Pressão_CERT-20251121-085505-QPG5</v>
      </c>
    </row>
    <row r="293" ht="22.5" customHeight="1">
      <c r="A293" s="99" t="s">
        <v>1164</v>
      </c>
      <c r="B293" s="78" t="s">
        <v>1165</v>
      </c>
      <c r="C293" s="73" t="s">
        <v>1117</v>
      </c>
      <c r="D293" s="7" t="s">
        <v>169</v>
      </c>
      <c r="E293" s="8">
        <v>45932.0</v>
      </c>
      <c r="F293" s="100" t="s">
        <v>1166</v>
      </c>
      <c r="G293" s="101" t="s">
        <v>1167</v>
      </c>
      <c r="H293" s="17" t="str">
        <f>HYPERLINK("https://drive.google.com/file/d/1ZsnRV2BF4pMLD5UjPJ8WJ_J_I79RUuG0/view?usp=drivesdk","Certif_Capacitação_Lesão_Pressão_CERT-20251121-085505-D3OM")</f>
        <v>Certif_Capacitação_Lesão_Pressão_CERT-20251121-085505-D3OM</v>
      </c>
    </row>
    <row r="294" ht="22.5" customHeight="1">
      <c r="A294" s="102" t="s">
        <v>1168</v>
      </c>
      <c r="B294" s="73" t="s">
        <v>1169</v>
      </c>
      <c r="C294" s="73" t="s">
        <v>1117</v>
      </c>
      <c r="D294" s="7" t="s">
        <v>169</v>
      </c>
      <c r="E294" s="8">
        <v>45932.0</v>
      </c>
      <c r="F294" s="103" t="s">
        <v>1170</v>
      </c>
      <c r="G294" s="104" t="s">
        <v>1171</v>
      </c>
      <c r="H294" s="11" t="str">
        <f>HYPERLINK("https://drive.google.com/file/d/1kF32JLLXHnORcm5ZLilotTHpStApobxD/view?usp=drivesdk","Certif_Capacitação_Lesão_Pressão_CERT-20251121-085505-IRX7")</f>
        <v>Certif_Capacitação_Lesão_Pressão_CERT-20251121-085505-IRX7</v>
      </c>
    </row>
    <row r="295" ht="22.5" customHeight="1">
      <c r="A295" s="99" t="s">
        <v>1172</v>
      </c>
      <c r="B295" s="78" t="s">
        <v>1173</v>
      </c>
      <c r="C295" s="73" t="s">
        <v>1117</v>
      </c>
      <c r="D295" s="7" t="s">
        <v>169</v>
      </c>
      <c r="E295" s="8">
        <v>45932.0</v>
      </c>
      <c r="F295" s="100" t="s">
        <v>1174</v>
      </c>
      <c r="G295" s="101" t="s">
        <v>1175</v>
      </c>
      <c r="H295" s="17" t="str">
        <f>HYPERLINK("https://drive.google.com/file/d/1aLAgjNOyw4sMpSl1WbMFqNmC3oMPM9F8/view?usp=drivesdk","Certif_Capacitação_Lesão_Pressão_CERT-20251121-085505-SQ5Q")</f>
        <v>Certif_Capacitação_Lesão_Pressão_CERT-20251121-085505-SQ5Q</v>
      </c>
    </row>
    <row r="296" ht="22.5" customHeight="1">
      <c r="A296" s="102" t="s">
        <v>1176</v>
      </c>
      <c r="B296" s="73" t="s">
        <v>1173</v>
      </c>
      <c r="C296" s="73" t="s">
        <v>1117</v>
      </c>
      <c r="D296" s="7" t="s">
        <v>169</v>
      </c>
      <c r="E296" s="8">
        <v>45932.0</v>
      </c>
      <c r="F296" s="103" t="s">
        <v>1177</v>
      </c>
      <c r="G296" s="104" t="s">
        <v>1178</v>
      </c>
      <c r="H296" s="11" t="str">
        <f>HYPERLINK("https://drive.google.com/file/d/1B2YgwiB9f7zsSIY0LbldhMHz0rpT-KIX/view?usp=drivesdk","Certif_Capacitação_Lesão_Pressão_CERT-20251121-085505-NH6P")</f>
        <v>Certif_Capacitação_Lesão_Pressão_CERT-20251121-085505-NH6P</v>
      </c>
    </row>
    <row r="297" ht="22.5" customHeight="1">
      <c r="A297" s="99" t="s">
        <v>1179</v>
      </c>
      <c r="B297" s="78" t="s">
        <v>1180</v>
      </c>
      <c r="C297" s="73" t="s">
        <v>1117</v>
      </c>
      <c r="D297" s="7" t="s">
        <v>169</v>
      </c>
      <c r="E297" s="8">
        <v>45932.0</v>
      </c>
      <c r="F297" s="100" t="s">
        <v>1181</v>
      </c>
      <c r="G297" s="101" t="s">
        <v>1182</v>
      </c>
      <c r="H297" s="17" t="str">
        <f>HYPERLINK("https://drive.google.com/file/d/1GNS_t9XC9hd-m7U60qAGlRQpOO21lk_C/view?usp=drivesdk","Certif_Capacitação_Lesão_Pressão_CERT-20251121-085505-E5GR")</f>
        <v>Certif_Capacitação_Lesão_Pressão_CERT-20251121-085505-E5GR</v>
      </c>
    </row>
    <row r="298" ht="22.5" customHeight="1">
      <c r="A298" s="102" t="s">
        <v>1183</v>
      </c>
      <c r="B298" s="73" t="s">
        <v>1184</v>
      </c>
      <c r="C298" s="73" t="s">
        <v>1117</v>
      </c>
      <c r="D298" s="7" t="s">
        <v>169</v>
      </c>
      <c r="E298" s="8">
        <v>45932.0</v>
      </c>
      <c r="F298" s="103" t="s">
        <v>1185</v>
      </c>
      <c r="G298" s="104" t="s">
        <v>1186</v>
      </c>
      <c r="H298" s="11" t="str">
        <f>HYPERLINK("https://drive.google.com/file/d/1IqKTPQZX2IRg5v-THVFD2aN9SqyV-SgM/view?usp=drivesdk","Certif_Capacitação_Lesão_Pressão_CERT-20251121-085505-GHM6")</f>
        <v>Certif_Capacitação_Lesão_Pressão_CERT-20251121-085505-GHM6</v>
      </c>
    </row>
    <row r="299" ht="22.5" customHeight="1">
      <c r="A299" s="105" t="s">
        <v>1187</v>
      </c>
      <c r="B299" s="106" t="s">
        <v>1188</v>
      </c>
      <c r="C299" s="81" t="s">
        <v>1117</v>
      </c>
      <c r="D299" s="21" t="s">
        <v>169</v>
      </c>
      <c r="E299" s="22">
        <v>45932.0</v>
      </c>
      <c r="F299" s="107" t="s">
        <v>1189</v>
      </c>
      <c r="G299" s="108" t="s">
        <v>1190</v>
      </c>
      <c r="H299" s="53" t="str">
        <f>HYPERLINK("https://drive.google.com/file/d/1XKPavTG5lGOmvd1Jzx7sttJx7JXM6pxN/view?usp=drivesdk","Certif_Capacitação_Lesão_Pressão_CERT-20251121-085505-2YI4")</f>
        <v>Certif_Capacitação_Lesão_Pressão_CERT-20251121-085505-2YI4</v>
      </c>
    </row>
    <row r="300" ht="22.5" customHeight="1">
      <c r="A300" s="4" t="s">
        <v>1191</v>
      </c>
      <c r="B300" s="109" t="s">
        <v>883</v>
      </c>
      <c r="C300" s="63" t="s">
        <v>1117</v>
      </c>
      <c r="D300" s="7" t="s">
        <v>169</v>
      </c>
      <c r="E300" s="8">
        <v>45938.0</v>
      </c>
      <c r="F300" s="9" t="s">
        <v>1192</v>
      </c>
      <c r="G300" s="10" t="s">
        <v>1193</v>
      </c>
      <c r="H300" s="11" t="str">
        <f>HYPERLINK("https://drive.google.com/file/d/1PevKpkaG2OpNojvHWJWH4HJi-fOUajSj/view?usp=drivesdk","Certif_Capacitação_Lesão_Pressão_CERT-20251121-091341-1WTY")</f>
        <v>Certif_Capacitação_Lesão_Pressão_CERT-20251121-091341-1WTY</v>
      </c>
    </row>
    <row r="301" ht="22.5" customHeight="1">
      <c r="A301" s="12" t="s">
        <v>1194</v>
      </c>
      <c r="B301" s="110" t="s">
        <v>1195</v>
      </c>
      <c r="C301" s="63" t="s">
        <v>1117</v>
      </c>
      <c r="D301" s="7" t="s">
        <v>169</v>
      </c>
      <c r="E301" s="8">
        <v>45938.0</v>
      </c>
      <c r="F301" s="15" t="s">
        <v>1196</v>
      </c>
      <c r="G301" s="16" t="s">
        <v>1197</v>
      </c>
      <c r="H301" s="17" t="str">
        <f>HYPERLINK("https://drive.google.com/file/d/1RH0zndYjo3_9am0saM_3-9tNF3k0w_rx/view?usp=drivesdk","Certif_Capacitação_Lesão_Pressão_CERT-20251121-091341-PA3I")</f>
        <v>Certif_Capacitação_Lesão_Pressão_CERT-20251121-091341-PA3I</v>
      </c>
    </row>
    <row r="302" ht="22.5" customHeight="1">
      <c r="A302" s="4" t="s">
        <v>1198</v>
      </c>
      <c r="B302" s="109" t="s">
        <v>1199</v>
      </c>
      <c r="C302" s="63" t="s">
        <v>1117</v>
      </c>
      <c r="D302" s="7" t="s">
        <v>169</v>
      </c>
      <c r="E302" s="8">
        <v>45938.0</v>
      </c>
      <c r="F302" s="9" t="s">
        <v>1200</v>
      </c>
      <c r="G302" s="10" t="s">
        <v>1201</v>
      </c>
      <c r="H302" s="11" t="str">
        <f>HYPERLINK("https://drive.google.com/file/d/1eXyBwS-xaoq5DUkIWhpyBEDxJaSs664-/view?usp=drivesdk","Certif_Capacitação_Lesão_Pressão_CERT-20251121-091341-0L32")</f>
        <v>Certif_Capacitação_Lesão_Pressão_CERT-20251121-091341-0L32</v>
      </c>
    </row>
    <row r="303" ht="22.5" customHeight="1">
      <c r="A303" s="12" t="s">
        <v>1202</v>
      </c>
      <c r="B303" s="110" t="s">
        <v>1203</v>
      </c>
      <c r="C303" s="63" t="s">
        <v>1117</v>
      </c>
      <c r="D303" s="7" t="s">
        <v>169</v>
      </c>
      <c r="E303" s="8">
        <v>45938.0</v>
      </c>
      <c r="F303" s="15" t="s">
        <v>1204</v>
      </c>
      <c r="G303" s="16" t="s">
        <v>1205</v>
      </c>
      <c r="H303" s="17" t="str">
        <f>HYPERLINK("https://drive.google.com/file/d/1LbnTYta8dmtaVXIRXcR8F1EvdUXME9Pb/view?usp=drivesdk","Certif_Capacitação_Lesão_Pressão_CERT-20251121-091341-KR63")</f>
        <v>Certif_Capacitação_Lesão_Pressão_CERT-20251121-091341-KR63</v>
      </c>
    </row>
    <row r="304" ht="22.5" customHeight="1">
      <c r="A304" s="4" t="s">
        <v>1206</v>
      </c>
      <c r="B304" s="109" t="s">
        <v>1207</v>
      </c>
      <c r="C304" s="63" t="s">
        <v>1117</v>
      </c>
      <c r="D304" s="7" t="s">
        <v>169</v>
      </c>
      <c r="E304" s="8">
        <v>45938.0</v>
      </c>
      <c r="F304" s="9" t="s">
        <v>1208</v>
      </c>
      <c r="G304" s="10" t="s">
        <v>1209</v>
      </c>
      <c r="H304" s="11" t="str">
        <f>HYPERLINK("https://drive.google.com/file/d/1S1yzMc9I3FdPFbz9v44NTOP-NpYKkmmM/view?usp=drivesdk","Certif_Capacitação_Lesão_Pressão_CERT-20251121-091341-82DB")</f>
        <v>Certif_Capacitação_Lesão_Pressão_CERT-20251121-091341-82DB</v>
      </c>
    </row>
    <row r="305" ht="22.5" customHeight="1">
      <c r="A305" s="12" t="s">
        <v>1210</v>
      </c>
      <c r="B305" s="110" t="s">
        <v>1211</v>
      </c>
      <c r="C305" s="63" t="s">
        <v>1117</v>
      </c>
      <c r="D305" s="7" t="s">
        <v>169</v>
      </c>
      <c r="E305" s="8">
        <v>45938.0</v>
      </c>
      <c r="F305" s="15" t="s">
        <v>1212</v>
      </c>
      <c r="G305" s="16" t="s">
        <v>1213</v>
      </c>
      <c r="H305" s="17" t="str">
        <f>HYPERLINK("https://drive.google.com/file/d/1qbmUk7MurHqkq6HcY50fFtKxqiFezBVa/view?usp=drivesdk","Certif_Capacitação_Lesão_Pressão_CERT-20251121-091341-1HOI")</f>
        <v>Certif_Capacitação_Lesão_Pressão_CERT-20251121-091341-1HOI</v>
      </c>
    </row>
    <row r="306" ht="22.5" customHeight="1">
      <c r="A306" s="4" t="s">
        <v>1214</v>
      </c>
      <c r="B306" s="109" t="s">
        <v>1215</v>
      </c>
      <c r="C306" s="63" t="s">
        <v>1117</v>
      </c>
      <c r="D306" s="7" t="s">
        <v>169</v>
      </c>
      <c r="E306" s="8">
        <v>45938.0</v>
      </c>
      <c r="F306" s="9" t="s">
        <v>1216</v>
      </c>
      <c r="G306" s="10" t="s">
        <v>1217</v>
      </c>
      <c r="H306" s="11" t="str">
        <f>HYPERLINK("https://drive.google.com/file/d/1wyYLXxF5qaukR_w4sHJt8ZQmKfefiyKI/view?usp=drivesdk","Certif_Capacitação_Lesão_Pressão_CERT-20251121-091341-X7BG")</f>
        <v>Certif_Capacitação_Lesão_Pressão_CERT-20251121-091341-X7BG</v>
      </c>
    </row>
    <row r="307" ht="22.5" customHeight="1">
      <c r="A307" s="12" t="s">
        <v>1218</v>
      </c>
      <c r="B307" s="110" t="s">
        <v>1219</v>
      </c>
      <c r="C307" s="63" t="s">
        <v>1117</v>
      </c>
      <c r="D307" s="7" t="s">
        <v>169</v>
      </c>
      <c r="E307" s="8">
        <v>45938.0</v>
      </c>
      <c r="F307" s="15" t="s">
        <v>1220</v>
      </c>
      <c r="G307" s="16" t="s">
        <v>1221</v>
      </c>
      <c r="H307" s="17" t="str">
        <f>HYPERLINK("https://drive.google.com/file/d/1G_oRbVm7DvQ-IGW5QWPksAmbbtrQNeyE/view?usp=drivesdk","Certif_Capacitação_Lesão_Pressão_CERT-20251121-091341-IUK3")</f>
        <v>Certif_Capacitação_Lesão_Pressão_CERT-20251121-091341-IUK3</v>
      </c>
    </row>
    <row r="308" ht="22.5" customHeight="1">
      <c r="A308" s="4" t="s">
        <v>1222</v>
      </c>
      <c r="B308" s="109" t="s">
        <v>1223</v>
      </c>
      <c r="C308" s="63" t="s">
        <v>1117</v>
      </c>
      <c r="D308" s="7" t="s">
        <v>169</v>
      </c>
      <c r="E308" s="8">
        <v>45938.0</v>
      </c>
      <c r="F308" s="9" t="s">
        <v>1224</v>
      </c>
      <c r="G308" s="10" t="s">
        <v>1225</v>
      </c>
      <c r="H308" s="11" t="str">
        <f>HYPERLINK("https://drive.google.com/file/d/1SOgyBVw9eKDNLnomHOIjN24p0EWty00f/view?usp=drivesdk","Certif_Capacitação_Lesão_Pressão_CERT-20251121-091341-3BV8")</f>
        <v>Certif_Capacitação_Lesão_Pressão_CERT-20251121-091341-3BV8</v>
      </c>
    </row>
    <row r="309" ht="22.5" customHeight="1">
      <c r="A309" s="12" t="s">
        <v>1226</v>
      </c>
      <c r="B309" s="111" t="s">
        <v>1227</v>
      </c>
      <c r="C309" s="63" t="s">
        <v>1117</v>
      </c>
      <c r="D309" s="7" t="s">
        <v>169</v>
      </c>
      <c r="E309" s="8">
        <v>45938.0</v>
      </c>
      <c r="F309" s="15" t="s">
        <v>1228</v>
      </c>
      <c r="G309" s="16" t="s">
        <v>1229</v>
      </c>
      <c r="H309" s="17" t="str">
        <f>HYPERLINK("https://drive.google.com/file/d/1PIhm7F_GHnk8L8NIg77KDF2BC7DxZ2np/view?usp=drivesdk","Certif_Capacitação_Lesão_Pressão_CERT-20251121-091341-X52Q")</f>
        <v>Certif_Capacitação_Lesão_Pressão_CERT-20251121-091341-X52Q</v>
      </c>
    </row>
    <row r="310" ht="22.5" customHeight="1">
      <c r="A310" s="4" t="s">
        <v>1230</v>
      </c>
      <c r="B310" s="112" t="s">
        <v>1231</v>
      </c>
      <c r="C310" s="63" t="s">
        <v>1117</v>
      </c>
      <c r="D310" s="7" t="s">
        <v>169</v>
      </c>
      <c r="E310" s="8">
        <v>45938.0</v>
      </c>
      <c r="F310" s="9" t="s">
        <v>1232</v>
      </c>
      <c r="G310" s="10" t="s">
        <v>1233</v>
      </c>
      <c r="H310" s="11" t="str">
        <f>HYPERLINK("https://drive.google.com/file/d/1WB1BisxUXAEKvS_i0ROzBGxL1y7gO-xj/view?usp=drivesdk","Certif_Capacitação_Lesão_Pressão_CERT-20251121-091341-5GAE")</f>
        <v>Certif_Capacitação_Lesão_Pressão_CERT-20251121-091341-5GAE</v>
      </c>
    </row>
    <row r="311" ht="22.5" customHeight="1">
      <c r="A311" s="12" t="s">
        <v>1234</v>
      </c>
      <c r="B311" s="111" t="s">
        <v>1235</v>
      </c>
      <c r="C311" s="63" t="s">
        <v>1117</v>
      </c>
      <c r="D311" s="7" t="s">
        <v>169</v>
      </c>
      <c r="E311" s="8">
        <v>45938.0</v>
      </c>
      <c r="F311" s="15" t="s">
        <v>1236</v>
      </c>
      <c r="G311" s="16" t="s">
        <v>1237</v>
      </c>
      <c r="H311" s="17" t="str">
        <f>HYPERLINK("https://drive.google.com/file/d/17oV4iVTEHzpp2IlL8RlpjuzElQCAyx-e/view?usp=drivesdk","Certif_Capacitação_Lesão_Pressão_CERT-20251121-091341-X6WI")</f>
        <v>Certif_Capacitação_Lesão_Pressão_CERT-20251121-091341-X6WI</v>
      </c>
    </row>
    <row r="312" ht="22.5" customHeight="1">
      <c r="A312" s="4" t="s">
        <v>1238</v>
      </c>
      <c r="B312" s="112" t="s">
        <v>1239</v>
      </c>
      <c r="C312" s="63" t="s">
        <v>1117</v>
      </c>
      <c r="D312" s="7" t="s">
        <v>169</v>
      </c>
      <c r="E312" s="8">
        <v>45938.0</v>
      </c>
      <c r="F312" s="9" t="s">
        <v>1240</v>
      </c>
      <c r="G312" s="10" t="s">
        <v>1241</v>
      </c>
      <c r="H312" s="11" t="str">
        <f>HYPERLINK("https://drive.google.com/file/d/1L-2dmB1uYuRe8XGkei_jy9Ctg1d6eyL7/view?usp=drivesdk","Certif_Capacitação_Lesão_Pressão_CERT-20251121-091341-5SLY")</f>
        <v>Certif_Capacitação_Lesão_Pressão_CERT-20251121-091341-5SLY</v>
      </c>
    </row>
    <row r="313" ht="22.5" customHeight="1">
      <c r="A313" s="12" t="s">
        <v>1242</v>
      </c>
      <c r="B313" s="111" t="s">
        <v>1243</v>
      </c>
      <c r="C313" s="63" t="s">
        <v>1117</v>
      </c>
      <c r="D313" s="7" t="s">
        <v>169</v>
      </c>
      <c r="E313" s="8">
        <v>45938.0</v>
      </c>
      <c r="F313" s="15" t="s">
        <v>1244</v>
      </c>
      <c r="G313" s="16" t="s">
        <v>1245</v>
      </c>
      <c r="H313" s="17" t="str">
        <f>HYPERLINK("https://drive.google.com/file/d/1bNj6Ba3zJCtbgghQ2eFkasg-AGLOHmuL/view?usp=drivesdk","Certif_Capacitação_Lesão_Pressão_CERT-20251121-091341-MV6Z")</f>
        <v>Certif_Capacitação_Lesão_Pressão_CERT-20251121-091341-MV6Z</v>
      </c>
    </row>
    <row r="314" ht="22.5" customHeight="1">
      <c r="A314" s="4" t="s">
        <v>1246</v>
      </c>
      <c r="B314" s="113" t="s">
        <v>1247</v>
      </c>
      <c r="C314" s="63" t="s">
        <v>1117</v>
      </c>
      <c r="D314" s="7" t="s">
        <v>169</v>
      </c>
      <c r="E314" s="8">
        <v>45938.0</v>
      </c>
      <c r="F314" s="9" t="s">
        <v>1248</v>
      </c>
      <c r="G314" s="10" t="s">
        <v>1249</v>
      </c>
      <c r="H314" s="11" t="str">
        <f>HYPERLINK("https://drive.google.com/file/d/1Dvloqlr7FAET4Ufb-mArc8U-cCWEYnwI/view?usp=drivesdk","Certif_Capacitação_Lesão_Pressão_CERT-20251121-091341-QYOU")</f>
        <v>Certif_Capacitação_Lesão_Pressão_CERT-20251121-091341-QYOU</v>
      </c>
    </row>
    <row r="315" ht="22.5" customHeight="1">
      <c r="A315" s="12" t="s">
        <v>1250</v>
      </c>
      <c r="B315" s="114" t="s">
        <v>1251</v>
      </c>
      <c r="C315" s="63" t="s">
        <v>1117</v>
      </c>
      <c r="D315" s="7" t="s">
        <v>169</v>
      </c>
      <c r="E315" s="8">
        <v>45938.0</v>
      </c>
      <c r="F315" s="15" t="s">
        <v>1252</v>
      </c>
      <c r="G315" s="16" t="s">
        <v>1253</v>
      </c>
      <c r="H315" s="17" t="str">
        <f>HYPERLINK("https://drive.google.com/file/d/1bjUnbyA0aS_cb_IAKetS572GTNbv2cBI/view?usp=drivesdk","Certif_Capacitação_Lesão_Pressão_CERT-20251121-091341-S4QC")</f>
        <v>Certif_Capacitação_Lesão_Pressão_CERT-20251121-091341-S4QC</v>
      </c>
    </row>
    <row r="316" ht="22.5" customHeight="1">
      <c r="A316" s="4" t="s">
        <v>1254</v>
      </c>
      <c r="B316" s="113" t="s">
        <v>1255</v>
      </c>
      <c r="C316" s="63" t="s">
        <v>1117</v>
      </c>
      <c r="D316" s="7" t="s">
        <v>169</v>
      </c>
      <c r="E316" s="8">
        <v>45938.0</v>
      </c>
      <c r="F316" s="9" t="s">
        <v>1256</v>
      </c>
      <c r="G316" s="10" t="s">
        <v>1257</v>
      </c>
      <c r="H316" s="11" t="str">
        <f>HYPERLINK("https://drive.google.com/file/d/1LlD1GANv_91qiKdh6t7Pj24eEtm-5HmD/view?usp=drivesdk","Certif_Capacitação_Lesão_Pressão_CERT-20251121-091341-0KY2")</f>
        <v>Certif_Capacitação_Lesão_Pressão_CERT-20251121-091341-0KY2</v>
      </c>
    </row>
    <row r="317" ht="22.5" customHeight="1">
      <c r="A317" s="12" t="s">
        <v>1258</v>
      </c>
      <c r="B317" s="114" t="s">
        <v>1259</v>
      </c>
      <c r="C317" s="63" t="s">
        <v>1117</v>
      </c>
      <c r="D317" s="7" t="s">
        <v>169</v>
      </c>
      <c r="E317" s="8">
        <v>45938.0</v>
      </c>
      <c r="F317" s="15" t="s">
        <v>1260</v>
      </c>
      <c r="G317" s="16" t="s">
        <v>1261</v>
      </c>
      <c r="H317" s="17" t="str">
        <f>HYPERLINK("https://drive.google.com/file/d/1Eal4CO210n1z516q_WMWNf_rZeqSuHmX/view?usp=drivesdk","Certif_Capacitação_Lesão_Pressão_CERT-20251121-091341-BIC6")</f>
        <v>Certif_Capacitação_Lesão_Pressão_CERT-20251121-091341-BIC6</v>
      </c>
    </row>
    <row r="318" ht="22.5" customHeight="1">
      <c r="A318" s="4" t="s">
        <v>1262</v>
      </c>
      <c r="B318" s="113" t="s">
        <v>1263</v>
      </c>
      <c r="C318" s="63" t="s">
        <v>1117</v>
      </c>
      <c r="D318" s="7" t="s">
        <v>169</v>
      </c>
      <c r="E318" s="8">
        <v>45938.0</v>
      </c>
      <c r="F318" s="9" t="s">
        <v>1264</v>
      </c>
      <c r="G318" s="10" t="s">
        <v>1265</v>
      </c>
      <c r="H318" s="11" t="str">
        <f>HYPERLINK("https://drive.google.com/file/d/1npS--0s-0vSWLA4JwZ_cOSLUntMcB_fO/view?usp=drivesdk","Certif_Capacitação_Lesão_Pressão_CERT-20251121-091341-FKR8")</f>
        <v>Certif_Capacitação_Lesão_Pressão_CERT-20251121-091341-FKR8</v>
      </c>
    </row>
    <row r="319" ht="22.5" customHeight="1">
      <c r="A319" s="12" t="s">
        <v>1266</v>
      </c>
      <c r="B319" s="114" t="s">
        <v>1267</v>
      </c>
      <c r="C319" s="63" t="s">
        <v>1117</v>
      </c>
      <c r="D319" s="7" t="s">
        <v>169</v>
      </c>
      <c r="E319" s="8">
        <v>45938.0</v>
      </c>
      <c r="F319" s="15" t="s">
        <v>1268</v>
      </c>
      <c r="G319" s="16" t="s">
        <v>1269</v>
      </c>
      <c r="H319" s="17" t="str">
        <f>HYPERLINK("https://drive.google.com/file/d/13CQZBiJQrbGd9HfL5ZF0w5tGz7N2QdWP/view?usp=drivesdk","Certif_Capacitação_Lesão_Pressão_CERT-20251121-091341-IZML")</f>
        <v>Certif_Capacitação_Lesão_Pressão_CERT-20251121-091341-IZML</v>
      </c>
    </row>
    <row r="320" ht="22.5" customHeight="1">
      <c r="A320" s="4" t="s">
        <v>1270</v>
      </c>
      <c r="B320" s="113" t="s">
        <v>1271</v>
      </c>
      <c r="C320" s="63" t="s">
        <v>1117</v>
      </c>
      <c r="D320" s="7" t="s">
        <v>169</v>
      </c>
      <c r="E320" s="8">
        <v>45938.0</v>
      </c>
      <c r="F320" s="9" t="s">
        <v>1272</v>
      </c>
      <c r="G320" s="10" t="s">
        <v>1273</v>
      </c>
      <c r="H320" s="11" t="str">
        <f>HYPERLINK("https://drive.google.com/file/d/1V8UtyKhgvSuEOjdw-7R1vSGsg0dSwsAX/view?usp=drivesdk","Certif_Capacitação_Lesão_Pressão_CERT-20251121-091341-90V4")</f>
        <v>Certif_Capacitação_Lesão_Pressão_CERT-20251121-091341-90V4</v>
      </c>
    </row>
    <row r="321" ht="22.5" customHeight="1">
      <c r="A321" s="12" t="s">
        <v>1274</v>
      </c>
      <c r="B321" s="114" t="s">
        <v>1275</v>
      </c>
      <c r="C321" s="63" t="s">
        <v>1117</v>
      </c>
      <c r="D321" s="7" t="s">
        <v>169</v>
      </c>
      <c r="E321" s="8">
        <v>45938.0</v>
      </c>
      <c r="F321" s="15" t="s">
        <v>1276</v>
      </c>
      <c r="G321" s="16" t="s">
        <v>1277</v>
      </c>
      <c r="H321" s="17" t="str">
        <f>HYPERLINK("https://drive.google.com/file/d/1ZmIxUIx5Rg0qbS1UFfosDq_pDehaDvWy/view?usp=drivesdk","Certif_Capacitação_Lesão_Pressão_CERT-20251121-091341-9LD1")</f>
        <v>Certif_Capacitação_Lesão_Pressão_CERT-20251121-091341-9LD1</v>
      </c>
    </row>
    <row r="322" ht="22.5" customHeight="1">
      <c r="A322" s="4" t="s">
        <v>1278</v>
      </c>
      <c r="B322" s="115" t="s">
        <v>1279</v>
      </c>
      <c r="C322" s="63" t="s">
        <v>1117</v>
      </c>
      <c r="D322" s="7" t="s">
        <v>169</v>
      </c>
      <c r="E322" s="8">
        <v>45938.0</v>
      </c>
      <c r="F322" s="9" t="s">
        <v>1280</v>
      </c>
      <c r="G322" s="10" t="s">
        <v>1281</v>
      </c>
      <c r="H322" s="11" t="str">
        <f>HYPERLINK("https://drive.google.com/file/d/1rLsda9rO-nroq5PXyZ1JjmuoZjgSy2kz/view?usp=drivesdk","Certif_Capacitação_Lesão_Pressão_CERT-20251121-091341-NPAC")</f>
        <v>Certif_Capacitação_Lesão_Pressão_CERT-20251121-091341-NPAC</v>
      </c>
    </row>
    <row r="323" ht="22.5" customHeight="1">
      <c r="A323" s="12" t="s">
        <v>1282</v>
      </c>
      <c r="B323" s="116" t="s">
        <v>1283</v>
      </c>
      <c r="C323" s="63" t="s">
        <v>1117</v>
      </c>
      <c r="D323" s="7" t="s">
        <v>169</v>
      </c>
      <c r="E323" s="8">
        <v>45938.0</v>
      </c>
      <c r="F323" s="15" t="s">
        <v>1284</v>
      </c>
      <c r="G323" s="16" t="s">
        <v>1285</v>
      </c>
      <c r="H323" s="17" t="str">
        <f>HYPERLINK("https://drive.google.com/file/d/1GUw6i7WMWxhcdvTilzhU6k0xqPRGLUg2/view?usp=drivesdk","Certif_Capacitação_Lesão_Pressão_CERT-20251121-091341-ZY6E")</f>
        <v>Certif_Capacitação_Lesão_Pressão_CERT-20251121-091341-ZY6E</v>
      </c>
    </row>
    <row r="324" ht="22.5" customHeight="1">
      <c r="A324" s="4" t="s">
        <v>1286</v>
      </c>
      <c r="B324" s="115" t="s">
        <v>1287</v>
      </c>
      <c r="C324" s="63" t="s">
        <v>1117</v>
      </c>
      <c r="D324" s="7" t="s">
        <v>169</v>
      </c>
      <c r="E324" s="8">
        <v>45938.0</v>
      </c>
      <c r="F324" s="9" t="s">
        <v>1288</v>
      </c>
      <c r="G324" s="10" t="s">
        <v>1289</v>
      </c>
      <c r="H324" s="11" t="str">
        <f>HYPERLINK("https://drive.google.com/file/d/1Cho5DM-eE1T41Hpzl4DvaWhDTCOXAj6o/view?usp=drivesdk","Certif_Capacitação_Lesão_Pressão_CERT-20251121-091341-D1U3")</f>
        <v>Certif_Capacitação_Lesão_Pressão_CERT-20251121-091341-D1U3</v>
      </c>
    </row>
    <row r="325" ht="22.5" customHeight="1">
      <c r="A325" s="12" t="s">
        <v>1290</v>
      </c>
      <c r="B325" s="116" t="s">
        <v>1291</v>
      </c>
      <c r="C325" s="63" t="s">
        <v>1117</v>
      </c>
      <c r="D325" s="7" t="s">
        <v>169</v>
      </c>
      <c r="E325" s="8">
        <v>45938.0</v>
      </c>
      <c r="F325" s="15" t="s">
        <v>1292</v>
      </c>
      <c r="G325" s="16" t="s">
        <v>1293</v>
      </c>
      <c r="H325" s="17" t="str">
        <f>HYPERLINK("https://drive.google.com/file/d/1MNtgDELADd5583Yh6-KBhnDz_vcANxRR/view?usp=drivesdk","Certif_Capacitação_Lesão_Pressão_CERT-20251121-091341-S3QN")</f>
        <v>Certif_Capacitação_Lesão_Pressão_CERT-20251121-091341-S3QN</v>
      </c>
    </row>
    <row r="326" ht="22.5" customHeight="1">
      <c r="A326" s="4" t="s">
        <v>1294</v>
      </c>
      <c r="B326" s="115" t="s">
        <v>1295</v>
      </c>
      <c r="C326" s="63" t="s">
        <v>1117</v>
      </c>
      <c r="D326" s="7" t="s">
        <v>169</v>
      </c>
      <c r="E326" s="8">
        <v>45938.0</v>
      </c>
      <c r="F326" s="9" t="s">
        <v>1296</v>
      </c>
      <c r="G326" s="10" t="s">
        <v>1297</v>
      </c>
      <c r="H326" s="11" t="str">
        <f>HYPERLINK("https://drive.google.com/file/d/1zvrwWhNC1iyDOVjZYMbHX44xmykxdLLD/view?usp=drivesdk","Certif_Capacitação_Lesão_Pressão_CERT-20251121-091341-YM0F")</f>
        <v>Certif_Capacitação_Lesão_Pressão_CERT-20251121-091341-YM0F</v>
      </c>
    </row>
    <row r="327" ht="22.5" customHeight="1">
      <c r="A327" s="12" t="s">
        <v>1298</v>
      </c>
      <c r="B327" s="116" t="s">
        <v>1299</v>
      </c>
      <c r="C327" s="63" t="s">
        <v>1117</v>
      </c>
      <c r="D327" s="7" t="s">
        <v>169</v>
      </c>
      <c r="E327" s="8">
        <v>45938.0</v>
      </c>
      <c r="F327" s="15" t="s">
        <v>1300</v>
      </c>
      <c r="G327" s="16" t="s">
        <v>1301</v>
      </c>
      <c r="H327" s="17" t="str">
        <f>HYPERLINK("https://drive.google.com/file/d/1MeYhTqteH-OCF96QOzvlJ_AODfOrjF6_/view?usp=drivesdk","Certif_Capacitação_Lesão_Pressão_CERT-20251121-091341-AQZ4")</f>
        <v>Certif_Capacitação_Lesão_Pressão_CERT-20251121-091341-AQZ4</v>
      </c>
    </row>
    <row r="328" ht="22.5" customHeight="1">
      <c r="A328" s="4" t="s">
        <v>1302</v>
      </c>
      <c r="B328" s="115" t="s">
        <v>1303</v>
      </c>
      <c r="C328" s="63" t="s">
        <v>1117</v>
      </c>
      <c r="D328" s="7" t="s">
        <v>169</v>
      </c>
      <c r="E328" s="8">
        <v>45938.0</v>
      </c>
      <c r="F328" s="9" t="s">
        <v>1304</v>
      </c>
      <c r="G328" s="10" t="s">
        <v>1305</v>
      </c>
      <c r="H328" s="11" t="str">
        <f>HYPERLINK("https://drive.google.com/file/d/11VcHfIKN8vfwVgi5BvYHm8tHQcepukV7/view?usp=drivesdk","Certif_Capacitação_Lesão_Pressão_CERT-20251121-091341-BE5L")</f>
        <v>Certif_Capacitação_Lesão_Pressão_CERT-20251121-091341-BE5L</v>
      </c>
    </row>
    <row r="329" ht="22.5" customHeight="1">
      <c r="A329" s="12" t="s">
        <v>1306</v>
      </c>
      <c r="B329" s="116" t="s">
        <v>859</v>
      </c>
      <c r="C329" s="63" t="s">
        <v>1117</v>
      </c>
      <c r="D329" s="7" t="s">
        <v>169</v>
      </c>
      <c r="E329" s="8">
        <v>45938.0</v>
      </c>
      <c r="F329" s="15" t="s">
        <v>1307</v>
      </c>
      <c r="G329" s="16" t="s">
        <v>1308</v>
      </c>
      <c r="H329" s="17" t="str">
        <f>HYPERLINK("https://drive.google.com/file/d/1H2CfJuqNP_BDS0i526Lunab2pzJsvaw9/view?usp=drivesdk","Certif_Capacitação_Lesão_Pressão_CERT-20251121-091341-T6AY")</f>
        <v>Certif_Capacitação_Lesão_Pressão_CERT-20251121-091341-T6AY</v>
      </c>
    </row>
    <row r="330" ht="22.5" customHeight="1">
      <c r="A330" s="4" t="s">
        <v>1309</v>
      </c>
      <c r="B330" s="115" t="s">
        <v>1310</v>
      </c>
      <c r="C330" s="63" t="s">
        <v>1117</v>
      </c>
      <c r="D330" s="7" t="s">
        <v>169</v>
      </c>
      <c r="E330" s="8">
        <v>45938.0</v>
      </c>
      <c r="F330" s="9" t="s">
        <v>1311</v>
      </c>
      <c r="G330" s="10" t="s">
        <v>1312</v>
      </c>
      <c r="H330" s="11" t="str">
        <f>HYPERLINK("https://drive.google.com/file/d/1QRZaSB7VEH_HUK3SsLUeG0pNV3xRSsoq/view?usp=drivesdk","Certif_Capacitação_Lesão_Pressão_CERT-20251121-091341-YPZP")</f>
        <v>Certif_Capacitação_Lesão_Pressão_CERT-20251121-091341-YPZP</v>
      </c>
    </row>
    <row r="331" ht="22.5" customHeight="1">
      <c r="A331" s="12" t="s">
        <v>1313</v>
      </c>
      <c r="B331" s="116" t="s">
        <v>1314</v>
      </c>
      <c r="C331" s="63" t="s">
        <v>1117</v>
      </c>
      <c r="D331" s="7" t="s">
        <v>169</v>
      </c>
      <c r="E331" s="8">
        <v>45938.0</v>
      </c>
      <c r="F331" s="15" t="s">
        <v>1315</v>
      </c>
      <c r="G331" s="16" t="s">
        <v>1316</v>
      </c>
      <c r="H331" s="17" t="str">
        <f>HYPERLINK("https://drive.google.com/file/d/1XqfP7qFC1F7mtxyQv5htw7reoxCKv4eQ/view?usp=drivesdk","Certif_Capacitação_Lesão_Pressão_CERT-20251121-091341-JVQ3")</f>
        <v>Certif_Capacitação_Lesão_Pressão_CERT-20251121-091341-JVQ3</v>
      </c>
    </row>
    <row r="332" ht="22.5" customHeight="1">
      <c r="A332" s="4" t="s">
        <v>1317</v>
      </c>
      <c r="B332" s="115" t="s">
        <v>1318</v>
      </c>
      <c r="C332" s="63" t="s">
        <v>1117</v>
      </c>
      <c r="D332" s="7" t="s">
        <v>169</v>
      </c>
      <c r="E332" s="8">
        <v>45938.0</v>
      </c>
      <c r="F332" s="9" t="s">
        <v>1319</v>
      </c>
      <c r="G332" s="10" t="s">
        <v>1320</v>
      </c>
      <c r="H332" s="11" t="str">
        <f>HYPERLINK("https://drive.google.com/file/d/1bGKEL_gpI3rsDHM9FGmTdLgCj2oogyYJ/view?usp=drivesdk","Certif_Capacitação_Lesão_Pressão_CERT-20251121-091341-FA32")</f>
        <v>Certif_Capacitação_Lesão_Pressão_CERT-20251121-091341-FA32</v>
      </c>
    </row>
    <row r="333" ht="22.5" customHeight="1">
      <c r="A333" s="12" t="s">
        <v>1321</v>
      </c>
      <c r="B333" s="116" t="s">
        <v>1322</v>
      </c>
      <c r="C333" s="63" t="s">
        <v>1117</v>
      </c>
      <c r="D333" s="7" t="s">
        <v>169</v>
      </c>
      <c r="E333" s="8">
        <v>45938.0</v>
      </c>
      <c r="F333" s="15" t="s">
        <v>1323</v>
      </c>
      <c r="G333" s="16" t="s">
        <v>1324</v>
      </c>
      <c r="H333" s="17" t="str">
        <f>HYPERLINK("https://drive.google.com/file/d/1XdqfSRBJH74as9XOnjsZS1gOuXRGnptx/view?usp=drivesdk","Certif_Capacitação_Lesão_Pressão_CERT-20251121-091341-RNVL")</f>
        <v>Certif_Capacitação_Lesão_Pressão_CERT-20251121-091341-RNVL</v>
      </c>
    </row>
    <row r="334" ht="22.5" customHeight="1">
      <c r="A334" s="31" t="s">
        <v>1325</v>
      </c>
      <c r="B334" s="117" t="s">
        <v>1326</v>
      </c>
      <c r="C334" s="82" t="s">
        <v>1117</v>
      </c>
      <c r="D334" s="21" t="s">
        <v>169</v>
      </c>
      <c r="E334" s="8">
        <v>45938.0</v>
      </c>
      <c r="F334" s="34" t="s">
        <v>1327</v>
      </c>
      <c r="G334" s="35" t="s">
        <v>1328</v>
      </c>
      <c r="H334" s="36" t="str">
        <f>HYPERLINK("https://drive.google.com/file/d/1sMH0bZm8jPz5uTYL3G8dWdRXbE0hu1El/view?usp=drivesdk","Certif_Capacitação_Lesão_Pressão_CERT-20251121-091341-EZH0")</f>
        <v>Certif_Capacitação_Lesão_Pressão_CERT-20251121-091341-EZH0</v>
      </c>
    </row>
    <row r="335" ht="22.5" customHeight="1">
      <c r="A335" s="4" t="s">
        <v>1329</v>
      </c>
      <c r="B335" s="118" t="s">
        <v>1330</v>
      </c>
      <c r="C335" s="63" t="s">
        <v>1331</v>
      </c>
      <c r="D335" s="7" t="s">
        <v>663</v>
      </c>
      <c r="E335" s="95">
        <v>45939.0</v>
      </c>
      <c r="F335" s="9" t="s">
        <v>1332</v>
      </c>
      <c r="G335" s="10" t="s">
        <v>1333</v>
      </c>
      <c r="H335" s="11" t="str">
        <f>HYPERLINK("https://drive.google.com/file/d/1dLVGEFfIKdsLd3NiPz8z-KnEb-yj1oDt/view?usp=drivesdk","Certif_Roda_Conversa_Saúde_Mental_CERT-20251121-100815-JOJF")</f>
        <v>Certif_Roda_Conversa_Saúde_Mental_CERT-20251121-100815-JOJF</v>
      </c>
    </row>
    <row r="336" ht="22.5" customHeight="1">
      <c r="A336" s="12" t="s">
        <v>1334</v>
      </c>
      <c r="B336" s="119" t="s">
        <v>888</v>
      </c>
      <c r="C336" s="63" t="s">
        <v>1331</v>
      </c>
      <c r="D336" s="7" t="s">
        <v>663</v>
      </c>
      <c r="E336" s="8">
        <v>45939.0</v>
      </c>
      <c r="F336" s="15" t="s">
        <v>1335</v>
      </c>
      <c r="G336" s="16" t="s">
        <v>1336</v>
      </c>
      <c r="H336" s="17" t="str">
        <f>HYPERLINK("https://drive.google.com/file/d/1vf6IeSXs5gcyG9WRE-CL5r6PlEdFkuQD/view?usp=drivesdk","Certif_Roda_Conversa_Saúde_Mental_CERT-20251121-100815-RJ08")</f>
        <v>Certif_Roda_Conversa_Saúde_Mental_CERT-20251121-100815-RJ08</v>
      </c>
    </row>
    <row r="337" ht="22.5" customHeight="1">
      <c r="A337" s="4" t="s">
        <v>1337</v>
      </c>
      <c r="B337" s="118" t="s">
        <v>1338</v>
      </c>
      <c r="C337" s="63" t="s">
        <v>1331</v>
      </c>
      <c r="D337" s="7" t="s">
        <v>663</v>
      </c>
      <c r="E337" s="8">
        <v>45939.0</v>
      </c>
      <c r="F337" s="9" t="s">
        <v>1339</v>
      </c>
      <c r="G337" s="10" t="s">
        <v>1340</v>
      </c>
      <c r="H337" s="11" t="str">
        <f>HYPERLINK("https://drive.google.com/file/d/1LYEa3IeBABboVjaK1Yo-pyJ940-m5E0r/view?usp=drivesdk","Certif_Roda_Conversa_Saúde_Mental_CERT-20251121-100815-EO44")</f>
        <v>Certif_Roda_Conversa_Saúde_Mental_CERT-20251121-100815-EO44</v>
      </c>
    </row>
    <row r="338" ht="22.5" customHeight="1">
      <c r="A338" s="12" t="s">
        <v>1341</v>
      </c>
      <c r="B338" s="119" t="s">
        <v>1145</v>
      </c>
      <c r="C338" s="63" t="s">
        <v>1331</v>
      </c>
      <c r="D338" s="7" t="s">
        <v>663</v>
      </c>
      <c r="E338" s="8">
        <v>45939.0</v>
      </c>
      <c r="F338" s="15" t="s">
        <v>1342</v>
      </c>
      <c r="G338" s="16" t="s">
        <v>1343</v>
      </c>
      <c r="H338" s="17" t="str">
        <f>HYPERLINK("https://drive.google.com/file/d/17OQqGqY-fcxk2LwiWLjcI8VA_o6bj53D/view?usp=drivesdk","Certif_Roda_Conversa_Saúde_Mental_CERT-20251121-100815-VEOR")</f>
        <v>Certif_Roda_Conversa_Saúde_Mental_CERT-20251121-100815-VEOR</v>
      </c>
    </row>
    <row r="339" ht="22.5" customHeight="1">
      <c r="A339" s="4" t="s">
        <v>1344</v>
      </c>
      <c r="B339" s="118" t="s">
        <v>892</v>
      </c>
      <c r="C339" s="63" t="s">
        <v>1331</v>
      </c>
      <c r="D339" s="7" t="s">
        <v>663</v>
      </c>
      <c r="E339" s="8">
        <v>45939.0</v>
      </c>
      <c r="F339" s="9" t="s">
        <v>1345</v>
      </c>
      <c r="G339" s="10" t="s">
        <v>1346</v>
      </c>
      <c r="H339" s="11" t="str">
        <f>HYPERLINK("https://drive.google.com/file/d/1Eb4yPQO9PnmS7h8W8A6sGOvJ_5V4KP5C/view?usp=drivesdk","Certif_Roda_Conversa_Saúde_Mental_CERT-20251121-100815-6Q4P")</f>
        <v>Certif_Roda_Conversa_Saúde_Mental_CERT-20251121-100815-6Q4P</v>
      </c>
    </row>
    <row r="340" ht="22.5" customHeight="1">
      <c r="A340" s="12" t="s">
        <v>1347</v>
      </c>
      <c r="B340" s="119" t="s">
        <v>1348</v>
      </c>
      <c r="C340" s="63" t="s">
        <v>1331</v>
      </c>
      <c r="D340" s="7" t="s">
        <v>663</v>
      </c>
      <c r="E340" s="8">
        <v>45939.0</v>
      </c>
      <c r="F340" s="15" t="s">
        <v>1349</v>
      </c>
      <c r="G340" s="16" t="s">
        <v>1350</v>
      </c>
      <c r="H340" s="17" t="str">
        <f>HYPERLINK("https://drive.google.com/file/d/173ES37t-oY1KW0rqf1_Qd2QS_q5SX73E/view?usp=drivesdk","Certif_Roda_Conversa_Saúde_Mental_CERT-20251121-100815-FS8C")</f>
        <v>Certif_Roda_Conversa_Saúde_Mental_CERT-20251121-100815-FS8C</v>
      </c>
    </row>
    <row r="341" ht="22.5" customHeight="1">
      <c r="A341" s="4" t="s">
        <v>1351</v>
      </c>
      <c r="B341" s="118" t="s">
        <v>1049</v>
      </c>
      <c r="C341" s="63" t="s">
        <v>1331</v>
      </c>
      <c r="D341" s="7" t="s">
        <v>663</v>
      </c>
      <c r="E341" s="8">
        <v>45939.0</v>
      </c>
      <c r="F341" s="9" t="s">
        <v>1352</v>
      </c>
      <c r="G341" s="10" t="s">
        <v>1353</v>
      </c>
      <c r="H341" s="11" t="str">
        <f>HYPERLINK("https://drive.google.com/file/d/1L9uOSwR3ruJqEklsm-yighJHdud85x3_/view?usp=drivesdk","Certif_Roda_Conversa_Saúde_Mental_CERT-20251121-100815-DJPT")</f>
        <v>Certif_Roda_Conversa_Saúde_Mental_CERT-20251121-100815-DJPT</v>
      </c>
    </row>
    <row r="342" ht="22.5" customHeight="1">
      <c r="A342" s="12" t="s">
        <v>1354</v>
      </c>
      <c r="B342" s="14" t="s">
        <v>1355</v>
      </c>
      <c r="C342" s="63" t="s">
        <v>1331</v>
      </c>
      <c r="D342" s="7" t="s">
        <v>663</v>
      </c>
      <c r="E342" s="8">
        <v>45939.0</v>
      </c>
      <c r="F342" s="15" t="s">
        <v>1356</v>
      </c>
      <c r="G342" s="16" t="s">
        <v>1357</v>
      </c>
      <c r="H342" s="17" t="str">
        <f>HYPERLINK("https://drive.google.com/file/d/13b64Gjdiq1rEZDhMH3yLDArJO7eciXeH/view?usp=drivesdk","Certif_Roda_Conversa_Saúde_Mental_CERT-20251121-100815-B7HS")</f>
        <v>Certif_Roda_Conversa_Saúde_Mental_CERT-20251121-100815-B7HS</v>
      </c>
    </row>
    <row r="343" ht="22.5" customHeight="1">
      <c r="A343" s="4" t="s">
        <v>1358</v>
      </c>
      <c r="B343" s="118" t="s">
        <v>1359</v>
      </c>
      <c r="C343" s="63" t="s">
        <v>1331</v>
      </c>
      <c r="D343" s="7" t="s">
        <v>663</v>
      </c>
      <c r="E343" s="8">
        <v>45939.0</v>
      </c>
      <c r="F343" s="9" t="s">
        <v>1360</v>
      </c>
      <c r="G343" s="10" t="s">
        <v>1361</v>
      </c>
      <c r="H343" s="11" t="str">
        <f>HYPERLINK("https://drive.google.com/file/d/1isESMlJF0B1lPpqoDOFCbjOcSTxhhG7V/view?usp=drivesdk","Certif_Roda_Conversa_Saúde_Mental_CERT-20251121-100815-E51Z")</f>
        <v>Certif_Roda_Conversa_Saúde_Mental_CERT-20251121-100815-E51Z</v>
      </c>
    </row>
    <row r="344" ht="22.5" customHeight="1">
      <c r="A344" s="12" t="s">
        <v>1362</v>
      </c>
      <c r="B344" s="119" t="s">
        <v>1363</v>
      </c>
      <c r="C344" s="63" t="s">
        <v>1331</v>
      </c>
      <c r="D344" s="7" t="s">
        <v>663</v>
      </c>
      <c r="E344" s="8">
        <v>45939.0</v>
      </c>
      <c r="F344" s="15" t="s">
        <v>1364</v>
      </c>
      <c r="G344" s="16" t="s">
        <v>1365</v>
      </c>
      <c r="H344" s="17" t="str">
        <f>HYPERLINK("https://drive.google.com/file/d/1tssErETEnF1fbLvPdrwP__ZnJFTSJVq9/view?usp=drivesdk","Certif_Roda_Conversa_Saúde_Mental_CERT-20251121-100815-KE6W")</f>
        <v>Certif_Roda_Conversa_Saúde_Mental_CERT-20251121-100815-KE6W</v>
      </c>
    </row>
    <row r="345" ht="22.5" customHeight="1">
      <c r="A345" s="4" t="s">
        <v>1366</v>
      </c>
      <c r="B345" s="118" t="s">
        <v>1367</v>
      </c>
      <c r="C345" s="63" t="s">
        <v>1331</v>
      </c>
      <c r="D345" s="7" t="s">
        <v>663</v>
      </c>
      <c r="E345" s="8">
        <v>45939.0</v>
      </c>
      <c r="F345" s="9" t="s">
        <v>1368</v>
      </c>
      <c r="G345" s="10" t="s">
        <v>1369</v>
      </c>
      <c r="H345" s="11" t="str">
        <f>HYPERLINK("https://drive.google.com/file/d/1cNhUao2Ff2-1dstJO1s4t96hCvWkrwew/view?usp=drivesdk","Certif_Roda_Conversa_Saúde_Mental_CERT-20251121-100815-HDYN")</f>
        <v>Certif_Roda_Conversa_Saúde_Mental_CERT-20251121-100815-HDYN</v>
      </c>
    </row>
    <row r="346" ht="22.5" customHeight="1">
      <c r="A346" s="12" t="s">
        <v>1370</v>
      </c>
      <c r="B346" s="119" t="s">
        <v>1371</v>
      </c>
      <c r="C346" s="63" t="s">
        <v>1331</v>
      </c>
      <c r="D346" s="7" t="s">
        <v>663</v>
      </c>
      <c r="E346" s="8">
        <v>45939.0</v>
      </c>
      <c r="F346" s="15" t="s">
        <v>1372</v>
      </c>
      <c r="G346" s="16" t="s">
        <v>1373</v>
      </c>
      <c r="H346" s="17" t="str">
        <f>HYPERLINK("https://drive.google.com/file/d/1cKkU-CUYkvcNpEw3GkNy00TOg69njeoW/view?usp=drivesdk","Certif_Roda_Conversa_Saúde_Mental_CERT-20251121-100815-WLX5")</f>
        <v>Certif_Roda_Conversa_Saúde_Mental_CERT-20251121-100815-WLX5</v>
      </c>
    </row>
    <row r="347" ht="22.5" customHeight="1">
      <c r="A347" s="4" t="s">
        <v>1374</v>
      </c>
      <c r="B347" s="118" t="s">
        <v>687</v>
      </c>
      <c r="C347" s="63" t="s">
        <v>1331</v>
      </c>
      <c r="D347" s="7" t="s">
        <v>663</v>
      </c>
      <c r="E347" s="8">
        <v>45939.0</v>
      </c>
      <c r="F347" s="9" t="s">
        <v>1375</v>
      </c>
      <c r="G347" s="10" t="s">
        <v>1376</v>
      </c>
      <c r="H347" s="11" t="str">
        <f>HYPERLINK("https://drive.google.com/file/d/160W1ui57fnc0lRbey2FxSzHvylCiqrMj/view?usp=drivesdk","Certif_Roda_Conversa_Saúde_Mental_CERT-20251121-100815-G966")</f>
        <v>Certif_Roda_Conversa_Saúde_Mental_CERT-20251121-100815-G966</v>
      </c>
    </row>
    <row r="348" ht="22.5" customHeight="1">
      <c r="A348" s="12" t="s">
        <v>1377</v>
      </c>
      <c r="B348" s="119" t="s">
        <v>1378</v>
      </c>
      <c r="C348" s="63" t="s">
        <v>1331</v>
      </c>
      <c r="D348" s="7" t="s">
        <v>663</v>
      </c>
      <c r="E348" s="8">
        <v>45939.0</v>
      </c>
      <c r="F348" s="15" t="s">
        <v>1379</v>
      </c>
      <c r="G348" s="16" t="s">
        <v>1380</v>
      </c>
      <c r="H348" s="17" t="str">
        <f>HYPERLINK("https://drive.google.com/file/d/1yIBa1rwudoiphlO0uvH_UyPurGU6mHQG/view?usp=drivesdk","Certif_Roda_Conversa_Saúde_Mental_CERT-20251121-100815-DC4C")</f>
        <v>Certif_Roda_Conversa_Saúde_Mental_CERT-20251121-100815-DC4C</v>
      </c>
    </row>
    <row r="349" ht="22.5" customHeight="1">
      <c r="A349" s="4" t="s">
        <v>1381</v>
      </c>
      <c r="B349" s="118" t="s">
        <v>1382</v>
      </c>
      <c r="C349" s="63" t="s">
        <v>1331</v>
      </c>
      <c r="D349" s="7" t="s">
        <v>663</v>
      </c>
      <c r="E349" s="8">
        <v>45939.0</v>
      </c>
      <c r="F349" s="9" t="s">
        <v>1383</v>
      </c>
      <c r="G349" s="10" t="s">
        <v>1384</v>
      </c>
      <c r="H349" s="11" t="str">
        <f>HYPERLINK("https://drive.google.com/file/d/1z4GfmiZTTOIUpH8cVel8JhXPOMOzRqJG/view?usp=drivesdk","Certif_Roda_Conversa_Saúde_Mental_CERT-20251121-100815-DDKU")</f>
        <v>Certif_Roda_Conversa_Saúde_Mental_CERT-20251121-100815-DDKU</v>
      </c>
    </row>
    <row r="350" ht="22.5" customHeight="1">
      <c r="A350" s="12" t="s">
        <v>1385</v>
      </c>
      <c r="B350" s="119" t="s">
        <v>1386</v>
      </c>
      <c r="C350" s="63" t="s">
        <v>1331</v>
      </c>
      <c r="D350" s="7" t="s">
        <v>663</v>
      </c>
      <c r="E350" s="8">
        <v>45939.0</v>
      </c>
      <c r="F350" s="15" t="s">
        <v>1387</v>
      </c>
      <c r="G350" s="16" t="s">
        <v>1388</v>
      </c>
      <c r="H350" s="17" t="str">
        <f>HYPERLINK("https://drive.google.com/file/d/1eJ-qUFuNu0HJZKinbA8Tdv4nnSVuIbbU/view?usp=drivesdk","Certif_Roda_Conversa_Saúde_Mental_CERT-20251121-100815-G58I")</f>
        <v>Certif_Roda_Conversa_Saúde_Mental_CERT-20251121-100815-G58I</v>
      </c>
    </row>
    <row r="351" ht="22.5" customHeight="1">
      <c r="A351" s="4" t="s">
        <v>1389</v>
      </c>
      <c r="B351" s="118" t="s">
        <v>1267</v>
      </c>
      <c r="C351" s="63" t="s">
        <v>1331</v>
      </c>
      <c r="D351" s="7" t="s">
        <v>663</v>
      </c>
      <c r="E351" s="8">
        <v>45939.0</v>
      </c>
      <c r="F351" s="9" t="s">
        <v>1390</v>
      </c>
      <c r="G351" s="10" t="s">
        <v>1391</v>
      </c>
      <c r="H351" s="11" t="str">
        <f>HYPERLINK("https://drive.google.com/file/d/1rnl7TwFtjsNe82fvs2wYqda2WPdIC2RI/view?usp=drivesdk","Certif_Roda_Conversa_Saúde_Mental_CERT-20251121-100815-4B8S")</f>
        <v>Certif_Roda_Conversa_Saúde_Mental_CERT-20251121-100815-4B8S</v>
      </c>
    </row>
    <row r="352" ht="22.5" customHeight="1">
      <c r="A352" s="12" t="s">
        <v>1392</v>
      </c>
      <c r="B352" s="119" t="s">
        <v>1393</v>
      </c>
      <c r="C352" s="63" t="s">
        <v>1331</v>
      </c>
      <c r="D352" s="7" t="s">
        <v>663</v>
      </c>
      <c r="E352" s="8">
        <v>45939.0</v>
      </c>
      <c r="F352" s="15" t="s">
        <v>1394</v>
      </c>
      <c r="G352" s="16" t="s">
        <v>1395</v>
      </c>
      <c r="H352" s="17" t="str">
        <f>HYPERLINK("https://drive.google.com/file/d/1ohHOZEZ4Y2GPyGNl2J-_JwVgrnm0PcUs/view?usp=drivesdk","Certif_Roda_Conversa_Saúde_Mental_CERT-20251121-100815-LI4L")</f>
        <v>Certif_Roda_Conversa_Saúde_Mental_CERT-20251121-100815-LI4L</v>
      </c>
    </row>
    <row r="353" ht="22.5" customHeight="1">
      <c r="A353" s="4" t="s">
        <v>1396</v>
      </c>
      <c r="B353" s="118" t="s">
        <v>1397</v>
      </c>
      <c r="C353" s="63" t="s">
        <v>1331</v>
      </c>
      <c r="D353" s="7" t="s">
        <v>663</v>
      </c>
      <c r="E353" s="8">
        <v>45939.0</v>
      </c>
      <c r="F353" s="9" t="s">
        <v>1398</v>
      </c>
      <c r="G353" s="10" t="s">
        <v>1399</v>
      </c>
      <c r="H353" s="11" t="str">
        <f>HYPERLINK("https://drive.google.com/file/d/1eEVqmfkW3iSo0LGHzQPfGYnJywrx5Miv/view?usp=drivesdk","Certif_Roda_Conversa_Saúde_Mental_CERT-20251121-100815-98HW")</f>
        <v>Certif_Roda_Conversa_Saúde_Mental_CERT-20251121-100815-98HW</v>
      </c>
    </row>
    <row r="354" ht="22.5" customHeight="1">
      <c r="A354" s="12" t="s">
        <v>1400</v>
      </c>
      <c r="B354" s="119" t="s">
        <v>1283</v>
      </c>
      <c r="C354" s="63" t="s">
        <v>1331</v>
      </c>
      <c r="D354" s="7" t="s">
        <v>663</v>
      </c>
      <c r="E354" s="8">
        <v>45939.0</v>
      </c>
      <c r="F354" s="15" t="s">
        <v>1401</v>
      </c>
      <c r="G354" s="16" t="s">
        <v>1402</v>
      </c>
      <c r="H354" s="17" t="str">
        <f>HYPERLINK("https://drive.google.com/file/d/1wZPyNAXVIdnIULXCc5ijClVOkmznI_H1/view?usp=drivesdk","Certif_Roda_Conversa_Saúde_Mental_CERT-20251121-100815-XPXV")</f>
        <v>Certif_Roda_Conversa_Saúde_Mental_CERT-20251121-100815-XPXV</v>
      </c>
    </row>
    <row r="355" ht="22.5" customHeight="1">
      <c r="A355" s="4" t="s">
        <v>1403</v>
      </c>
      <c r="B355" s="118" t="s">
        <v>1404</v>
      </c>
      <c r="C355" s="63" t="s">
        <v>1331</v>
      </c>
      <c r="D355" s="7" t="s">
        <v>663</v>
      </c>
      <c r="E355" s="8">
        <v>45939.0</v>
      </c>
      <c r="F355" s="9" t="s">
        <v>1405</v>
      </c>
      <c r="G355" s="10" t="s">
        <v>1406</v>
      </c>
      <c r="H355" s="11" t="str">
        <f>HYPERLINK("https://drive.google.com/file/d/11NRWcXfWHtfGNie7ijVlOhKhG3rC_xtY/view?usp=drivesdk","Certif_Roda_Conversa_Saúde_Mental_CERT-20251121-100815-CYIX")</f>
        <v>Certif_Roda_Conversa_Saúde_Mental_CERT-20251121-100815-CYIX</v>
      </c>
    </row>
    <row r="356" ht="22.5" customHeight="1">
      <c r="A356" s="12" t="s">
        <v>1407</v>
      </c>
      <c r="B356" s="119" t="s">
        <v>1408</v>
      </c>
      <c r="C356" s="63" t="s">
        <v>1331</v>
      </c>
      <c r="D356" s="7" t="s">
        <v>663</v>
      </c>
      <c r="E356" s="8">
        <v>45939.0</v>
      </c>
      <c r="F356" s="15" t="s">
        <v>1409</v>
      </c>
      <c r="G356" s="16" t="s">
        <v>1410</v>
      </c>
      <c r="H356" s="17" t="str">
        <f>HYPERLINK("https://drive.google.com/file/d/1y0b7w7id1cFUN-ASH1vQBFNhmwo9jvUE/view?usp=drivesdk","Certif_Roda_Conversa_Saúde_Mental_CERT-20251121-100815-MQCJ")</f>
        <v>Certif_Roda_Conversa_Saúde_Mental_CERT-20251121-100815-MQCJ</v>
      </c>
    </row>
    <row r="357" ht="22.5" customHeight="1">
      <c r="A357" s="4" t="s">
        <v>1411</v>
      </c>
      <c r="B357" s="118" t="s">
        <v>1412</v>
      </c>
      <c r="C357" s="63" t="s">
        <v>1331</v>
      </c>
      <c r="D357" s="7" t="s">
        <v>663</v>
      </c>
      <c r="E357" s="8">
        <v>45939.0</v>
      </c>
      <c r="F357" s="9" t="s">
        <v>1413</v>
      </c>
      <c r="G357" s="10" t="s">
        <v>1414</v>
      </c>
      <c r="H357" s="11" t="str">
        <f>HYPERLINK("https://drive.google.com/file/d/1LwGaIIjuGQXoGOmzyAInrVoDs125rO-k/view?usp=drivesdk","Certif_Roda_Conversa_Saúde_Mental_CERT-20251121-100815-G9O6")</f>
        <v>Certif_Roda_Conversa_Saúde_Mental_CERT-20251121-100815-G9O6</v>
      </c>
    </row>
    <row r="358" ht="22.5" customHeight="1">
      <c r="A358" s="12" t="s">
        <v>1415</v>
      </c>
      <c r="B358" s="119" t="s">
        <v>1299</v>
      </c>
      <c r="C358" s="63" t="s">
        <v>1331</v>
      </c>
      <c r="D358" s="7" t="s">
        <v>663</v>
      </c>
      <c r="E358" s="8">
        <v>45939.0</v>
      </c>
      <c r="F358" s="15" t="s">
        <v>1416</v>
      </c>
      <c r="G358" s="16" t="s">
        <v>1417</v>
      </c>
      <c r="H358" s="17" t="str">
        <f>HYPERLINK("https://drive.google.com/file/d/1Up2ogffrOB6W07Wmi2N2EvBs8Zv4QBM_/view?usp=drivesdk","Certif_Roda_Conversa_Saúde_Mental_CERT-20251121-100815-SX5M")</f>
        <v>Certif_Roda_Conversa_Saúde_Mental_CERT-20251121-100815-SX5M</v>
      </c>
    </row>
    <row r="359" ht="22.5" customHeight="1">
      <c r="A359" s="4" t="s">
        <v>1418</v>
      </c>
      <c r="B359" s="118" t="s">
        <v>1419</v>
      </c>
      <c r="C359" s="63" t="s">
        <v>1331</v>
      </c>
      <c r="D359" s="7" t="s">
        <v>663</v>
      </c>
      <c r="E359" s="8">
        <v>45939.0</v>
      </c>
      <c r="F359" s="9" t="s">
        <v>1420</v>
      </c>
      <c r="G359" s="10" t="s">
        <v>1421</v>
      </c>
      <c r="H359" s="11" t="str">
        <f>HYPERLINK("https://drive.google.com/file/d/1d38Qp3WUzk7_KPNfqPGZ5oCCsBd3R0c6/view?usp=drivesdk","Certif_Roda_Conversa_Saúde_Mental_CERT-20251121-100815-LM66")</f>
        <v>Certif_Roda_Conversa_Saúde_Mental_CERT-20251121-100815-LM66</v>
      </c>
    </row>
    <row r="360" ht="22.5" customHeight="1">
      <c r="A360" s="12" t="s">
        <v>1422</v>
      </c>
      <c r="B360" s="119" t="s">
        <v>1303</v>
      </c>
      <c r="C360" s="63" t="s">
        <v>1331</v>
      </c>
      <c r="D360" s="7" t="s">
        <v>663</v>
      </c>
      <c r="E360" s="8">
        <v>45939.0</v>
      </c>
      <c r="F360" s="15" t="s">
        <v>1423</v>
      </c>
      <c r="G360" s="16" t="s">
        <v>1424</v>
      </c>
      <c r="H360" s="17" t="str">
        <f>HYPERLINK("https://drive.google.com/file/d/1B22nR8G9H2WIDBcaC3y_Tu9nb8ritwx3/view?usp=drivesdk","Certif_Roda_Conversa_Saúde_Mental_CERT-20251121-100815-I3MY")</f>
        <v>Certif_Roda_Conversa_Saúde_Mental_CERT-20251121-100815-I3MY</v>
      </c>
    </row>
    <row r="361" ht="22.5" customHeight="1">
      <c r="A361" s="4" t="s">
        <v>1425</v>
      </c>
      <c r="B361" s="118" t="s">
        <v>859</v>
      </c>
      <c r="C361" s="63" t="s">
        <v>1331</v>
      </c>
      <c r="D361" s="7" t="s">
        <v>663</v>
      </c>
      <c r="E361" s="8">
        <v>45939.0</v>
      </c>
      <c r="F361" s="9" t="s">
        <v>1426</v>
      </c>
      <c r="G361" s="10" t="s">
        <v>1427</v>
      </c>
      <c r="H361" s="11" t="str">
        <f>HYPERLINK("https://drive.google.com/file/d/1vb1PGXt1Tj29_NSRUPqXKklT7vK0rCAh/view?usp=drivesdk","Certif_Roda_Conversa_Saúde_Mental_CERT-20251121-100815-XDJ7")</f>
        <v>Certif_Roda_Conversa_Saúde_Mental_CERT-20251121-100815-XDJ7</v>
      </c>
    </row>
    <row r="362" ht="22.5" customHeight="1">
      <c r="A362" s="49" t="s">
        <v>1428</v>
      </c>
      <c r="B362" s="120" t="s">
        <v>1429</v>
      </c>
      <c r="C362" s="82" t="s">
        <v>1331</v>
      </c>
      <c r="D362" s="21" t="s">
        <v>663</v>
      </c>
      <c r="E362" s="22">
        <v>45939.0</v>
      </c>
      <c r="F362" s="28" t="s">
        <v>1430</v>
      </c>
      <c r="G362" s="29" t="s">
        <v>1431</v>
      </c>
      <c r="H362" s="30" t="str">
        <f>HYPERLINK("https://drive.google.com/file/d/1tkcxb54JWKRNpJHLmMaxqlUtVd1bR-a2/view?usp=drivesdk","Certif_Roda_Conversa_Saúde_Mental_CERT-20251121-100815-I0U2")</f>
        <v>Certif_Roda_Conversa_Saúde_Mental_CERT-20251121-100815-I0U2</v>
      </c>
    </row>
    <row r="363" ht="22.5" customHeight="1">
      <c r="A363" s="4" t="s">
        <v>1432</v>
      </c>
      <c r="B363" s="118" t="s">
        <v>1433</v>
      </c>
      <c r="C363" s="63" t="s">
        <v>1434</v>
      </c>
      <c r="D363" s="7" t="s">
        <v>169</v>
      </c>
      <c r="E363" s="64">
        <v>45951.0</v>
      </c>
      <c r="F363" s="9" t="s">
        <v>1435</v>
      </c>
      <c r="G363" s="10" t="s">
        <v>1436</v>
      </c>
      <c r="H363" s="11" t="str">
        <f>HYPERLINK("https://drive.google.com/file/d/14-EUL9qYjQ9uOjhdBnQ3LrRPPIK5f31R/view?usp=drivesdk","Certificado_Isolamentos_CERT-20251121-110638-1V6H")</f>
        <v>Certificado_Isolamentos_CERT-20251121-110638-1V6H</v>
      </c>
    </row>
    <row r="364" ht="22.5" customHeight="1">
      <c r="A364" s="12" t="s">
        <v>1437</v>
      </c>
      <c r="B364" s="119" t="s">
        <v>1219</v>
      </c>
      <c r="C364" s="63" t="s">
        <v>1434</v>
      </c>
      <c r="D364" s="7" t="s">
        <v>169</v>
      </c>
      <c r="E364" s="64">
        <v>45951.0</v>
      </c>
      <c r="F364" s="15" t="s">
        <v>1438</v>
      </c>
      <c r="G364" s="16" t="s">
        <v>1439</v>
      </c>
      <c r="H364" s="17" t="str">
        <f>HYPERLINK("https://drive.google.com/file/d/1_eMOJCZjaDdnTcY56eKQhKtURPEFdfag/view?usp=drivesdk","Certificado_Isolamentos_CERT-20251121-110638-LQLK")</f>
        <v>Certificado_Isolamentos_CERT-20251121-110638-LQLK</v>
      </c>
    </row>
    <row r="365" ht="22.5" customHeight="1">
      <c r="A365" s="4" t="s">
        <v>1440</v>
      </c>
      <c r="B365" s="118" t="s">
        <v>955</v>
      </c>
      <c r="C365" s="63" t="s">
        <v>1434</v>
      </c>
      <c r="D365" s="7" t="s">
        <v>169</v>
      </c>
      <c r="E365" s="64">
        <v>45951.0</v>
      </c>
      <c r="F365" s="9" t="s">
        <v>1441</v>
      </c>
      <c r="G365" s="10" t="s">
        <v>1442</v>
      </c>
      <c r="H365" s="11" t="str">
        <f>HYPERLINK("https://drive.google.com/file/d/1icmKdZzno9iL56fA0tMtNUtr1Yypp1dy/view?usp=drivesdk","Certificado_Isolamentos_CERT-20251121-110638-0EQ8")</f>
        <v>Certificado_Isolamentos_CERT-20251121-110638-0EQ8</v>
      </c>
    </row>
    <row r="366" ht="22.5" customHeight="1">
      <c r="A366" s="12" t="s">
        <v>1443</v>
      </c>
      <c r="B366" s="119" t="s">
        <v>1355</v>
      </c>
      <c r="C366" s="63" t="s">
        <v>1434</v>
      </c>
      <c r="D366" s="7" t="s">
        <v>169</v>
      </c>
      <c r="E366" s="64">
        <v>45951.0</v>
      </c>
      <c r="F366" s="15" t="s">
        <v>1444</v>
      </c>
      <c r="G366" s="16" t="s">
        <v>1445</v>
      </c>
      <c r="H366" s="17" t="str">
        <f>HYPERLINK("https://drive.google.com/file/d/1zA3kIwsqW14nzejgZZFDpYqqt-8d9VqH/view?usp=drivesdk","Certificado_Isolamentos_CERT-20251121-110638-N0H8")</f>
        <v>Certificado_Isolamentos_CERT-20251121-110638-N0H8</v>
      </c>
    </row>
    <row r="367" ht="22.5" customHeight="1">
      <c r="A367" s="4" t="s">
        <v>1446</v>
      </c>
      <c r="B367" s="118" t="s">
        <v>1447</v>
      </c>
      <c r="C367" s="63" t="s">
        <v>1434</v>
      </c>
      <c r="D367" s="7" t="s">
        <v>169</v>
      </c>
      <c r="E367" s="64">
        <v>45951.0</v>
      </c>
      <c r="F367" s="9" t="s">
        <v>1448</v>
      </c>
      <c r="G367" s="10" t="s">
        <v>1449</v>
      </c>
      <c r="H367" s="11" t="str">
        <f>HYPERLINK("https://drive.google.com/file/d/1ZkhE7vXc5JHD4fvRhdZp2juUdS8Oot8J/view?usp=drivesdk","Certificado_Isolamentos_CERT-20251121-110638-GM3J")</f>
        <v>Certificado_Isolamentos_CERT-20251121-110638-GM3J</v>
      </c>
    </row>
    <row r="368" ht="22.5" customHeight="1">
      <c r="A368" s="12" t="s">
        <v>1450</v>
      </c>
      <c r="B368" s="119" t="s">
        <v>1451</v>
      </c>
      <c r="C368" s="63" t="s">
        <v>1434</v>
      </c>
      <c r="D368" s="7" t="s">
        <v>169</v>
      </c>
      <c r="E368" s="64">
        <v>45951.0</v>
      </c>
      <c r="F368" s="15" t="s">
        <v>1452</v>
      </c>
      <c r="G368" s="16" t="s">
        <v>1453</v>
      </c>
      <c r="H368" s="17" t="str">
        <f>HYPERLINK("https://drive.google.com/file/d/1HGAHVrTQCKxEeNoNWCIwVLvX73_g4g3n/view?usp=drivesdk","Certificado_Isolamentos_CERT-20251121-110638-81SO")</f>
        <v>Certificado_Isolamentos_CERT-20251121-110638-81SO</v>
      </c>
    </row>
    <row r="369" ht="22.5" customHeight="1">
      <c r="A369" s="4" t="s">
        <v>1454</v>
      </c>
      <c r="B369" s="118" t="s">
        <v>730</v>
      </c>
      <c r="C369" s="63" t="s">
        <v>1434</v>
      </c>
      <c r="D369" s="7" t="s">
        <v>169</v>
      </c>
      <c r="E369" s="64">
        <v>45951.0</v>
      </c>
      <c r="F369" s="9" t="s">
        <v>1455</v>
      </c>
      <c r="G369" s="10" t="s">
        <v>1456</v>
      </c>
      <c r="H369" s="11" t="str">
        <f>HYPERLINK("https://drive.google.com/file/d/12Yfn8Vl0WaCdSZpGfSU2Ut1SNmrHgqeJ/view?usp=drivesdk","Certificado_Isolamentos_CERT-20251121-110638-WPYC")</f>
        <v>Certificado_Isolamentos_CERT-20251121-110638-WPYC</v>
      </c>
    </row>
    <row r="370" ht="22.5" customHeight="1">
      <c r="A370" s="12" t="s">
        <v>1457</v>
      </c>
      <c r="B370" s="119" t="s">
        <v>1161</v>
      </c>
      <c r="C370" s="63" t="s">
        <v>1434</v>
      </c>
      <c r="D370" s="7" t="s">
        <v>169</v>
      </c>
      <c r="E370" s="64">
        <v>45951.0</v>
      </c>
      <c r="F370" s="15" t="s">
        <v>1458</v>
      </c>
      <c r="G370" s="16" t="s">
        <v>1459</v>
      </c>
      <c r="H370" s="17" t="str">
        <f>HYPERLINK("https://drive.google.com/file/d/1PYQNoZWdwFAiDQ2oVVMWgawXBrJ0MPEv/view?usp=drivesdk","Certificado_Isolamentos_CERT-20251121-110638-NU1W")</f>
        <v>Certificado_Isolamentos_CERT-20251121-110638-NU1W</v>
      </c>
    </row>
    <row r="371" ht="22.5" customHeight="1">
      <c r="A371" s="4" t="s">
        <v>1460</v>
      </c>
      <c r="B371" s="118" t="s">
        <v>1461</v>
      </c>
      <c r="C371" s="63" t="s">
        <v>1434</v>
      </c>
      <c r="D371" s="7" t="s">
        <v>169</v>
      </c>
      <c r="E371" s="64">
        <v>45951.0</v>
      </c>
      <c r="F371" s="9" t="s">
        <v>1462</v>
      </c>
      <c r="G371" s="10" t="s">
        <v>1463</v>
      </c>
      <c r="H371" s="11" t="str">
        <f>HYPERLINK("https://drive.google.com/file/d/14kVqfZ2DF28c4M8_Np-gEXiN3knglAZH/view?usp=drivesdk","Certificado_Isolamentos_CERT-20251121-110638-JT4Z")</f>
        <v>Certificado_Isolamentos_CERT-20251121-110638-JT4Z</v>
      </c>
    </row>
    <row r="372" ht="22.5" customHeight="1">
      <c r="A372" s="12" t="s">
        <v>1464</v>
      </c>
      <c r="B372" s="119" t="s">
        <v>1465</v>
      </c>
      <c r="C372" s="63" t="s">
        <v>1434</v>
      </c>
      <c r="D372" s="7" t="s">
        <v>169</v>
      </c>
      <c r="E372" s="64">
        <v>45951.0</v>
      </c>
      <c r="F372" s="15" t="s">
        <v>1466</v>
      </c>
      <c r="G372" s="16" t="s">
        <v>1467</v>
      </c>
      <c r="H372" s="17" t="str">
        <f>HYPERLINK("https://drive.google.com/file/d/14UNSphzNbTRvlSlechOruxKBeMmRCNc1/view?usp=drivesdk","Certificado_Isolamentos_CERT-20251121-110638-342Y")</f>
        <v>Certificado_Isolamentos_CERT-20251121-110638-342Y</v>
      </c>
    </row>
    <row r="373" ht="22.5" customHeight="1">
      <c r="A373" s="4" t="s">
        <v>1468</v>
      </c>
      <c r="B373" s="118" t="s">
        <v>1469</v>
      </c>
      <c r="C373" s="63" t="s">
        <v>1434</v>
      </c>
      <c r="D373" s="7" t="s">
        <v>169</v>
      </c>
      <c r="E373" s="64">
        <v>45951.0</v>
      </c>
      <c r="F373" s="9" t="s">
        <v>1470</v>
      </c>
      <c r="G373" s="10" t="s">
        <v>1471</v>
      </c>
      <c r="H373" s="11" t="str">
        <f>HYPERLINK("https://drive.google.com/file/d/1Ms2S3x2TTdZKjMZ8SW_m-EB4St5f5pOb/view?usp=drivesdk","Certificado_Isolamentos_CERT-20251121-110638-WHGX")</f>
        <v>Certificado_Isolamentos_CERT-20251121-110638-WHGX</v>
      </c>
    </row>
    <row r="374" ht="22.5" customHeight="1">
      <c r="A374" s="12" t="s">
        <v>1472</v>
      </c>
      <c r="B374" s="119" t="s">
        <v>1473</v>
      </c>
      <c r="C374" s="63" t="s">
        <v>1434</v>
      </c>
      <c r="D374" s="7" t="s">
        <v>169</v>
      </c>
      <c r="E374" s="64">
        <v>45951.0</v>
      </c>
      <c r="F374" s="15" t="s">
        <v>1474</v>
      </c>
      <c r="G374" s="16" t="s">
        <v>1475</v>
      </c>
      <c r="H374" s="17" t="str">
        <f>HYPERLINK("https://drive.google.com/file/d/1Bk9nkwegcaDHya4MkIPcw9DcnEPaUVt5/view?usp=drivesdk","Certificado_Isolamentos_CERT-20251121-110638-W1K2")</f>
        <v>Certificado_Isolamentos_CERT-20251121-110638-W1K2</v>
      </c>
    </row>
    <row r="375" ht="22.5" customHeight="1">
      <c r="A375" s="4" t="s">
        <v>1476</v>
      </c>
      <c r="B375" s="118" t="s">
        <v>822</v>
      </c>
      <c r="C375" s="63" t="s">
        <v>1434</v>
      </c>
      <c r="D375" s="7" t="s">
        <v>169</v>
      </c>
      <c r="E375" s="64">
        <v>45951.0</v>
      </c>
      <c r="F375" s="9" t="s">
        <v>1477</v>
      </c>
      <c r="G375" s="10" t="s">
        <v>1478</v>
      </c>
      <c r="H375" s="11" t="str">
        <f>HYPERLINK("https://drive.google.com/file/d/1JqQTO16mY41CrLRZiDs7w2m8uorcnbSa/view?usp=drivesdk","Certificado_Isolamentos_CERT-20251121-110638-4GSX")</f>
        <v>Certificado_Isolamentos_CERT-20251121-110638-4GSX</v>
      </c>
    </row>
    <row r="376" ht="22.5" customHeight="1">
      <c r="A376" s="12" t="s">
        <v>1479</v>
      </c>
      <c r="B376" s="119" t="s">
        <v>1480</v>
      </c>
      <c r="C376" s="63" t="s">
        <v>1434</v>
      </c>
      <c r="D376" s="7" t="s">
        <v>169</v>
      </c>
      <c r="E376" s="64">
        <v>45951.0</v>
      </c>
      <c r="F376" s="15" t="s">
        <v>1481</v>
      </c>
      <c r="G376" s="16" t="s">
        <v>1482</v>
      </c>
      <c r="H376" s="17" t="str">
        <f>HYPERLINK("https://drive.google.com/file/d/1gHx3YjBVpBF6Ri2oWhxe8Giymu4NSIHy/view?usp=drivesdk","Certificado_Isolamentos_CERT-20251121-110638-Y9ZF")</f>
        <v>Certificado_Isolamentos_CERT-20251121-110638-Y9ZF</v>
      </c>
    </row>
    <row r="377" ht="22.5" customHeight="1">
      <c r="A377" s="4" t="s">
        <v>1483</v>
      </c>
      <c r="B377" s="118" t="s">
        <v>1291</v>
      </c>
      <c r="C377" s="63" t="s">
        <v>1434</v>
      </c>
      <c r="D377" s="7" t="s">
        <v>169</v>
      </c>
      <c r="E377" s="64">
        <v>45951.0</v>
      </c>
      <c r="F377" s="9" t="s">
        <v>1484</v>
      </c>
      <c r="G377" s="10" t="s">
        <v>1485</v>
      </c>
      <c r="H377" s="11" t="str">
        <f>HYPERLINK("https://drive.google.com/file/d/1KMqd1S6OpOgM-4IqGaVgsrdwp7hQQ3a_/view?usp=drivesdk","Certificado_Isolamentos_CERT-20251121-110638-65G4")</f>
        <v>Certificado_Isolamentos_CERT-20251121-110638-65G4</v>
      </c>
    </row>
    <row r="378" ht="22.5" customHeight="1">
      <c r="A378" s="12" t="s">
        <v>1486</v>
      </c>
      <c r="B378" s="119" t="s">
        <v>1487</v>
      </c>
      <c r="C378" s="63" t="s">
        <v>1434</v>
      </c>
      <c r="D378" s="7" t="s">
        <v>169</v>
      </c>
      <c r="E378" s="64">
        <v>45951.0</v>
      </c>
      <c r="F378" s="15" t="s">
        <v>1488</v>
      </c>
      <c r="G378" s="16" t="s">
        <v>1489</v>
      </c>
      <c r="H378" s="17" t="str">
        <f>HYPERLINK("https://drive.google.com/file/d/1cR1pcZObwVQ1JGfNCcKnMf6XQhr4S-5u/view?usp=drivesdk","Certificado_Isolamentos_CERT-20251121-110638-ZKHO")</f>
        <v>Certificado_Isolamentos_CERT-20251121-110638-ZKHO</v>
      </c>
    </row>
    <row r="379" ht="22.5" customHeight="1">
      <c r="A379" s="4" t="s">
        <v>1490</v>
      </c>
      <c r="B379" s="118" t="s">
        <v>1491</v>
      </c>
      <c r="C379" s="63" t="s">
        <v>1434</v>
      </c>
      <c r="D379" s="7" t="s">
        <v>169</v>
      </c>
      <c r="E379" s="64">
        <v>45951.0</v>
      </c>
      <c r="F379" s="9" t="s">
        <v>1492</v>
      </c>
      <c r="G379" s="10" t="s">
        <v>1493</v>
      </c>
      <c r="H379" s="11" t="str">
        <f>HYPERLINK("https://drive.google.com/file/d/1cdWOqeAYEuvZzil6srn0PfjNDQDWohgw/view?usp=drivesdk","Certificado_Isolamentos_CERT-20251121-110638-2PSE")</f>
        <v>Certificado_Isolamentos_CERT-20251121-110638-2PSE</v>
      </c>
    </row>
    <row r="380" ht="22.5" customHeight="1">
      <c r="A380" s="12" t="s">
        <v>1494</v>
      </c>
      <c r="B380" s="119" t="s">
        <v>1495</v>
      </c>
      <c r="C380" s="63" t="s">
        <v>1434</v>
      </c>
      <c r="D380" s="7" t="s">
        <v>169</v>
      </c>
      <c r="E380" s="64">
        <v>45951.0</v>
      </c>
      <c r="F380" s="15" t="s">
        <v>1496</v>
      </c>
      <c r="G380" s="16" t="s">
        <v>1497</v>
      </c>
      <c r="H380" s="17" t="str">
        <f>HYPERLINK("https://drive.google.com/file/d/1rZ75ghgdJpzjhv3a-9-78Q6o5lPpxGts/view?usp=drivesdk","Certificado_Isolamentos_CERT-20251121-110638-6DWY")</f>
        <v>Certificado_Isolamentos_CERT-20251121-110638-6DWY</v>
      </c>
    </row>
    <row r="381" ht="22.5" customHeight="1">
      <c r="A381" s="4" t="s">
        <v>1498</v>
      </c>
      <c r="B381" s="118" t="s">
        <v>1303</v>
      </c>
      <c r="C381" s="63" t="s">
        <v>1434</v>
      </c>
      <c r="D381" s="7" t="s">
        <v>169</v>
      </c>
      <c r="E381" s="64">
        <v>45951.0</v>
      </c>
      <c r="F381" s="9" t="s">
        <v>1499</v>
      </c>
      <c r="G381" s="10" t="s">
        <v>1500</v>
      </c>
      <c r="H381" s="11" t="str">
        <f>HYPERLINK("https://drive.google.com/file/d/1KvaotDw5U3t4K6KT3lUMFtOFq82xEnGD/view?usp=drivesdk","Certificado_Isolamentos_CERT-20251121-110638-M6NS")</f>
        <v>Certificado_Isolamentos_CERT-20251121-110638-M6NS</v>
      </c>
    </row>
    <row r="382" ht="22.5" customHeight="1">
      <c r="A382" s="12" t="s">
        <v>1501</v>
      </c>
      <c r="B382" s="119" t="s">
        <v>1502</v>
      </c>
      <c r="C382" s="63" t="s">
        <v>1434</v>
      </c>
      <c r="D382" s="7" t="s">
        <v>169</v>
      </c>
      <c r="E382" s="64">
        <v>45951.0</v>
      </c>
      <c r="F382" s="15" t="s">
        <v>1503</v>
      </c>
      <c r="G382" s="16" t="s">
        <v>1504</v>
      </c>
      <c r="H382" s="17" t="str">
        <f>HYPERLINK("https://drive.google.com/file/d/1qXQp43YISyyFtTCPWX0K9is159Ve6gpv/view?usp=drivesdk","Certificado_Isolamentos_CERT-20251121-110638-TILX")</f>
        <v>Certificado_Isolamentos_CERT-20251121-110638-TILX</v>
      </c>
    </row>
    <row r="383" ht="22.5" customHeight="1">
      <c r="A383" s="4" t="s">
        <v>1505</v>
      </c>
      <c r="B383" s="118" t="s">
        <v>859</v>
      </c>
      <c r="C383" s="63" t="s">
        <v>1434</v>
      </c>
      <c r="D383" s="7" t="s">
        <v>169</v>
      </c>
      <c r="E383" s="64">
        <v>45951.0</v>
      </c>
      <c r="F383" s="9" t="s">
        <v>1506</v>
      </c>
      <c r="G383" s="10" t="s">
        <v>1507</v>
      </c>
      <c r="H383" s="11" t="str">
        <f>HYPERLINK("https://drive.google.com/file/d/1idd60KBMCcXr5qWz9GAO7_FZf3Sa0jfK/view?usp=drivesdk","Certificado_Isolamentos_CERT-20251121-110638-OW49")</f>
        <v>Certificado_Isolamentos_CERT-20251121-110638-OW49</v>
      </c>
    </row>
    <row r="384" ht="22.5" customHeight="1">
      <c r="A384" s="12" t="s">
        <v>1508</v>
      </c>
      <c r="B384" s="119" t="s">
        <v>617</v>
      </c>
      <c r="C384" s="63" t="s">
        <v>1434</v>
      </c>
      <c r="D384" s="7" t="s">
        <v>169</v>
      </c>
      <c r="E384" s="64">
        <v>45951.0</v>
      </c>
      <c r="F384" s="15" t="s">
        <v>1509</v>
      </c>
      <c r="G384" s="16" t="s">
        <v>1510</v>
      </c>
      <c r="H384" s="17" t="str">
        <f>HYPERLINK("https://drive.google.com/file/d/1u30seyg88MforMYjkfolK4G6UVPcwI01/view?usp=drivesdk","Certificado_Isolamentos_CERT-20251121-110638-3TPR")</f>
        <v>Certificado_Isolamentos_CERT-20251121-110638-3TPR</v>
      </c>
    </row>
    <row r="385" ht="22.5" customHeight="1">
      <c r="A385" s="4" t="s">
        <v>1511</v>
      </c>
      <c r="B385" s="118" t="s">
        <v>1512</v>
      </c>
      <c r="C385" s="63" t="s">
        <v>1434</v>
      </c>
      <c r="D385" s="7" t="s">
        <v>169</v>
      </c>
      <c r="E385" s="64">
        <v>45951.0</v>
      </c>
      <c r="F385" s="9" t="s">
        <v>1513</v>
      </c>
      <c r="G385" s="10" t="s">
        <v>1514</v>
      </c>
      <c r="H385" s="11" t="str">
        <f>HYPERLINK("https://drive.google.com/file/d/1oKL48vg6ev5X_XyIqHseh6i5xRfjdzP7/view?usp=drivesdk","Certificado_Isolamentos_CERT-20251121-110638-Z9KH")</f>
        <v>Certificado_Isolamentos_CERT-20251121-110638-Z9KH</v>
      </c>
    </row>
    <row r="386" ht="22.5" customHeight="1">
      <c r="A386" s="49" t="s">
        <v>1515</v>
      </c>
      <c r="B386" s="120" t="s">
        <v>1516</v>
      </c>
      <c r="C386" s="82" t="s">
        <v>1434</v>
      </c>
      <c r="D386" s="21" t="s">
        <v>169</v>
      </c>
      <c r="E386" s="83">
        <v>45951.0</v>
      </c>
      <c r="F386" s="28" t="s">
        <v>1517</v>
      </c>
      <c r="G386" s="29" t="s">
        <v>1518</v>
      </c>
      <c r="H386" s="30" t="str">
        <f>HYPERLINK("https://drive.google.com/file/d/115Wl2fJ1XDDpULa_fLS0H5FmncKkTO6l/view?usp=drivesdk","Certificado_Isolamentos_CERT-20251121-110638-4VZV")</f>
        <v>Certificado_Isolamentos_CERT-20251121-110638-4VZV</v>
      </c>
    </row>
    <row r="387" ht="22.5" customHeight="1">
      <c r="A387" s="37" t="s">
        <v>1519</v>
      </c>
      <c r="B387" s="121" t="s">
        <v>1520</v>
      </c>
      <c r="C387" s="63" t="s">
        <v>884</v>
      </c>
      <c r="D387" s="7" t="s">
        <v>169</v>
      </c>
      <c r="E387" s="64">
        <v>45974.0</v>
      </c>
      <c r="F387" s="122" t="s">
        <v>1521</v>
      </c>
      <c r="G387" s="123" t="s">
        <v>1522</v>
      </c>
      <c r="H387" s="98" t="str">
        <f>HYPERLINK("https://drive.google.com/file/d/1wpVQHnk-sVpluEvaJOtJqBaOzlTmaq1M/view?usp=drivesdk","Certificado_Notificação_Eventos_Adversos_CERT-20251121-114715-Q638")</f>
        <v>Certificado_Notificação_Eventos_Adversos_CERT-20251121-114715-Q638</v>
      </c>
    </row>
    <row r="388" ht="22.5" customHeight="1">
      <c r="A388" s="12" t="s">
        <v>1523</v>
      </c>
      <c r="B388" s="119" t="s">
        <v>1524</v>
      </c>
      <c r="C388" s="63" t="s">
        <v>884</v>
      </c>
      <c r="D388" s="7" t="s">
        <v>169</v>
      </c>
      <c r="E388" s="64">
        <v>45974.0</v>
      </c>
      <c r="F388" s="15" t="s">
        <v>1525</v>
      </c>
      <c r="G388" s="16" t="s">
        <v>1526</v>
      </c>
      <c r="H388" s="17" t="str">
        <f>HYPERLINK("https://drive.google.com/file/d/1AeJctHpW10yFWfFe6Ecv75zfTo30dPcq/view?usp=drivesdk","Certificado_Notificação_Eventos_Adversos_CERT-20251121-114715-89D0")</f>
        <v>Certificado_Notificação_Eventos_Adversos_CERT-20251121-114715-89D0</v>
      </c>
    </row>
    <row r="389" ht="22.5" customHeight="1">
      <c r="A389" s="4" t="s">
        <v>1527</v>
      </c>
      <c r="B389" s="118" t="s">
        <v>1528</v>
      </c>
      <c r="C389" s="63" t="s">
        <v>884</v>
      </c>
      <c r="D389" s="7" t="s">
        <v>169</v>
      </c>
      <c r="E389" s="64">
        <v>45974.0</v>
      </c>
      <c r="F389" s="9" t="s">
        <v>1529</v>
      </c>
      <c r="G389" s="10" t="s">
        <v>1530</v>
      </c>
      <c r="H389" s="11" t="str">
        <f>HYPERLINK("https://drive.google.com/file/d/1y_q0E6cPIVqv3OlnYWWawZ5TfFpO__3n/view?usp=drivesdk","Certificado_Notificação_Eventos_Adversos_CERT-20251121-114715-DYMZ")</f>
        <v>Certificado_Notificação_Eventos_Adversos_CERT-20251121-114715-DYMZ</v>
      </c>
    </row>
    <row r="390" ht="22.5" customHeight="1">
      <c r="A390" s="12" t="s">
        <v>1531</v>
      </c>
      <c r="B390" s="119" t="s">
        <v>1532</v>
      </c>
      <c r="C390" s="63" t="s">
        <v>884</v>
      </c>
      <c r="D390" s="7" t="s">
        <v>169</v>
      </c>
      <c r="E390" s="64">
        <v>45974.0</v>
      </c>
      <c r="F390" s="15" t="s">
        <v>1533</v>
      </c>
      <c r="G390" s="16" t="s">
        <v>1534</v>
      </c>
      <c r="H390" s="17" t="str">
        <f>HYPERLINK("https://drive.google.com/file/d/1XIk0u2qXDlELXHuBxoWy7W2lgT62zISn/view?usp=drivesdk","Certificado_Notificação_Eventos_Adversos_CERT-20251121-114715-U3NR")</f>
        <v>Certificado_Notificação_Eventos_Adversos_CERT-20251121-114715-U3NR</v>
      </c>
    </row>
    <row r="391" ht="22.5" customHeight="1">
      <c r="A391" s="4" t="s">
        <v>1535</v>
      </c>
      <c r="B391" s="118" t="s">
        <v>354</v>
      </c>
      <c r="C391" s="63" t="s">
        <v>884</v>
      </c>
      <c r="D391" s="7" t="s">
        <v>169</v>
      </c>
      <c r="E391" s="64">
        <v>45974.0</v>
      </c>
      <c r="F391" s="9" t="s">
        <v>1536</v>
      </c>
      <c r="G391" s="10" t="s">
        <v>1537</v>
      </c>
      <c r="H391" s="11" t="str">
        <f>HYPERLINK("https://drive.google.com/file/d/1gHNl4xIQNKYmaF87DNkrARNkmmpZDmoC/view?usp=drivesdk","Certificado_Notificação_Eventos_Adversos_CERT-20251121-114715-HH3J")</f>
        <v>Certificado_Notificação_Eventos_Adversos_CERT-20251121-114715-HH3J</v>
      </c>
    </row>
    <row r="392" ht="22.5" customHeight="1">
      <c r="A392" s="12" t="s">
        <v>1538</v>
      </c>
      <c r="B392" s="119" t="s">
        <v>1539</v>
      </c>
      <c r="C392" s="63" t="s">
        <v>884</v>
      </c>
      <c r="D392" s="7" t="s">
        <v>169</v>
      </c>
      <c r="E392" s="64">
        <v>45974.0</v>
      </c>
      <c r="F392" s="15" t="s">
        <v>1540</v>
      </c>
      <c r="G392" s="16" t="s">
        <v>1541</v>
      </c>
      <c r="H392" s="17" t="str">
        <f>HYPERLINK("https://drive.google.com/file/d/1paEMw6uYom5fEKYIxGpmwtwnGhkOyGge/view?usp=drivesdk","Certificado_Notificação_Eventos_Adversos_CERT-20251121-114715-HCOV")</f>
        <v>Certificado_Notificação_Eventos_Adversos_CERT-20251121-114715-HCOV</v>
      </c>
    </row>
    <row r="393" ht="22.5" customHeight="1">
      <c r="A393" s="4" t="s">
        <v>1542</v>
      </c>
      <c r="B393" s="118" t="s">
        <v>1543</v>
      </c>
      <c r="C393" s="63" t="s">
        <v>884</v>
      </c>
      <c r="D393" s="7" t="s">
        <v>169</v>
      </c>
      <c r="E393" s="64">
        <v>45974.0</v>
      </c>
      <c r="F393" s="9" t="s">
        <v>1544</v>
      </c>
      <c r="G393" s="10" t="s">
        <v>1545</v>
      </c>
      <c r="H393" s="11" t="str">
        <f>HYPERLINK("https://drive.google.com/file/d/1F0PYYLfUC3VaGWJ035EA6FBS7nFTQYqx/view?usp=drivesdk","Certificado_Notificação_Eventos_Adversos_CERT-20251121-114715-R4S7")</f>
        <v>Certificado_Notificação_Eventos_Adversos_CERT-20251121-114715-R4S7</v>
      </c>
    </row>
    <row r="394" ht="22.5" customHeight="1">
      <c r="A394" s="12" t="s">
        <v>1546</v>
      </c>
      <c r="B394" s="119" t="s">
        <v>1547</v>
      </c>
      <c r="C394" s="63" t="s">
        <v>884</v>
      </c>
      <c r="D394" s="7" t="s">
        <v>169</v>
      </c>
      <c r="E394" s="64">
        <v>45974.0</v>
      </c>
      <c r="F394" s="15" t="s">
        <v>1548</v>
      </c>
      <c r="G394" s="16" t="s">
        <v>1549</v>
      </c>
      <c r="H394" s="17" t="str">
        <f>HYPERLINK("https://drive.google.com/file/d/1nxzryUXjWpXD5HKxLxZZGeI1aaykkiTf/view?usp=drivesdk","Certificado_Notificação_Eventos_Adversos_CERT-20251121-114715-X8R8")</f>
        <v>Certificado_Notificação_Eventos_Adversos_CERT-20251121-114715-X8R8</v>
      </c>
    </row>
    <row r="395" ht="22.5" customHeight="1">
      <c r="A395" s="18" t="s">
        <v>1550</v>
      </c>
      <c r="B395" s="124" t="s">
        <v>358</v>
      </c>
      <c r="C395" s="82" t="s">
        <v>884</v>
      </c>
      <c r="D395" s="21" t="s">
        <v>169</v>
      </c>
      <c r="E395" s="83">
        <v>45974.0</v>
      </c>
      <c r="F395" s="34" t="s">
        <v>1551</v>
      </c>
      <c r="G395" s="35" t="s">
        <v>1552</v>
      </c>
      <c r="H395" s="36" t="str">
        <f>HYPERLINK("https://drive.google.com/file/d/188LLHp6Qyk1Whguqta2QSUueeC_taOWn/view?usp=drivesdk","Certificado_Notificação_Eventos_Adversos_CERT-20251121-114715-JDWZ")</f>
        <v>Certificado_Notificação_Eventos_Adversos_CERT-20251121-114715-JDWZ</v>
      </c>
    </row>
    <row r="396" ht="22.5" customHeight="1">
      <c r="A396" s="125"/>
      <c r="B396" s="125"/>
      <c r="C396" s="125"/>
      <c r="D396" s="126"/>
      <c r="E396" s="126"/>
      <c r="F396" s="127"/>
      <c r="G396" s="127"/>
      <c r="H396" s="128"/>
    </row>
    <row r="397" ht="22.5" customHeight="1">
      <c r="A397" s="125"/>
      <c r="B397" s="125"/>
      <c r="C397" s="125"/>
      <c r="D397" s="126"/>
      <c r="E397" s="126"/>
      <c r="F397" s="127"/>
      <c r="G397" s="127"/>
      <c r="H397" s="128"/>
    </row>
    <row r="398" ht="22.5" customHeight="1">
      <c r="A398" s="125"/>
      <c r="B398" s="125"/>
      <c r="C398" s="125"/>
      <c r="D398" s="126"/>
      <c r="E398" s="126"/>
      <c r="F398" s="127"/>
      <c r="G398" s="127"/>
      <c r="H398" s="128"/>
    </row>
    <row r="399" ht="22.5" customHeight="1">
      <c r="A399" s="125"/>
      <c r="B399" s="125"/>
      <c r="C399" s="125"/>
      <c r="D399" s="126"/>
      <c r="E399" s="126"/>
      <c r="F399" s="127"/>
      <c r="G399" s="127"/>
      <c r="H399" s="128"/>
    </row>
    <row r="400" ht="22.5" customHeight="1">
      <c r="A400" s="125"/>
      <c r="B400" s="125"/>
      <c r="C400" s="125"/>
      <c r="D400" s="126"/>
      <c r="E400" s="126"/>
      <c r="F400" s="127"/>
      <c r="G400" s="127"/>
      <c r="H400" s="128"/>
    </row>
    <row r="401" ht="22.5" customHeight="1">
      <c r="A401" s="125"/>
      <c r="B401" s="125"/>
      <c r="C401" s="125"/>
      <c r="D401" s="126"/>
      <c r="E401" s="126"/>
      <c r="F401" s="127"/>
      <c r="G401" s="127"/>
      <c r="H401" s="128"/>
    </row>
    <row r="402" ht="22.5" customHeight="1">
      <c r="A402" s="125"/>
      <c r="B402" s="125"/>
      <c r="C402" s="125"/>
      <c r="D402" s="126"/>
      <c r="E402" s="126"/>
      <c r="F402" s="127"/>
      <c r="G402" s="127"/>
      <c r="H402" s="128"/>
    </row>
    <row r="403" ht="22.5" customHeight="1">
      <c r="A403" s="125"/>
      <c r="B403" s="125"/>
      <c r="C403" s="125"/>
      <c r="D403" s="126"/>
      <c r="E403" s="126"/>
      <c r="F403" s="127"/>
      <c r="G403" s="127"/>
      <c r="H403" s="128"/>
    </row>
    <row r="404" ht="22.5" customHeight="1">
      <c r="A404" s="125"/>
      <c r="B404" s="125"/>
      <c r="C404" s="125"/>
      <c r="D404" s="126"/>
      <c r="E404" s="126"/>
      <c r="F404" s="127"/>
      <c r="G404" s="127"/>
      <c r="H404" s="128"/>
    </row>
    <row r="405" ht="22.5" customHeight="1">
      <c r="A405" s="125"/>
      <c r="B405" s="125"/>
      <c r="C405" s="125"/>
      <c r="D405" s="126"/>
      <c r="E405" s="126"/>
      <c r="F405" s="127"/>
      <c r="G405" s="127"/>
      <c r="H405" s="128"/>
    </row>
    <row r="406" ht="22.5" customHeight="1">
      <c r="A406" s="125"/>
      <c r="B406" s="125"/>
      <c r="C406" s="125"/>
      <c r="D406" s="126"/>
      <c r="E406" s="126"/>
      <c r="F406" s="127"/>
      <c r="G406" s="127"/>
      <c r="H406" s="128"/>
    </row>
    <row r="407" ht="22.5" customHeight="1">
      <c r="A407" s="125"/>
      <c r="B407" s="125"/>
      <c r="C407" s="125"/>
      <c r="D407" s="126"/>
      <c r="E407" s="126"/>
      <c r="F407" s="127"/>
      <c r="G407" s="127"/>
      <c r="H407" s="128"/>
    </row>
    <row r="408" ht="22.5" customHeight="1">
      <c r="A408" s="125"/>
      <c r="B408" s="125"/>
      <c r="C408" s="125"/>
      <c r="D408" s="126"/>
      <c r="E408" s="126"/>
      <c r="F408" s="127"/>
      <c r="G408" s="127"/>
      <c r="H408" s="128"/>
    </row>
    <row r="409" ht="22.5" customHeight="1">
      <c r="A409" s="125"/>
      <c r="B409" s="125"/>
      <c r="C409" s="125"/>
      <c r="D409" s="126"/>
      <c r="E409" s="126"/>
      <c r="F409" s="127"/>
      <c r="G409" s="127"/>
      <c r="H409" s="128"/>
    </row>
    <row r="410" ht="22.5" customHeight="1">
      <c r="A410" s="125"/>
      <c r="B410" s="125"/>
      <c r="C410" s="125"/>
      <c r="D410" s="126"/>
      <c r="E410" s="126"/>
      <c r="F410" s="127"/>
      <c r="G410" s="127"/>
      <c r="H410" s="128"/>
    </row>
    <row r="411" ht="22.5" customHeight="1">
      <c r="A411" s="125"/>
      <c r="B411" s="125"/>
      <c r="C411" s="125"/>
      <c r="D411" s="126"/>
      <c r="E411" s="126"/>
      <c r="F411" s="127"/>
      <c r="G411" s="127"/>
      <c r="H411" s="128"/>
    </row>
    <row r="412" ht="22.5" customHeight="1">
      <c r="A412" s="125"/>
      <c r="B412" s="125"/>
      <c r="C412" s="125"/>
      <c r="D412" s="126"/>
      <c r="E412" s="126"/>
      <c r="F412" s="127"/>
      <c r="G412" s="127"/>
      <c r="H412" s="128"/>
    </row>
    <row r="413" ht="22.5" customHeight="1">
      <c r="A413" s="125"/>
      <c r="B413" s="125"/>
      <c r="C413" s="125"/>
      <c r="D413" s="126"/>
      <c r="E413" s="126"/>
      <c r="F413" s="127"/>
      <c r="G413" s="127"/>
      <c r="H413" s="128"/>
    </row>
    <row r="414" ht="22.5" customHeight="1">
      <c r="A414" s="125"/>
      <c r="B414" s="125"/>
      <c r="C414" s="125"/>
      <c r="D414" s="126"/>
      <c r="E414" s="126"/>
      <c r="F414" s="127"/>
      <c r="G414" s="127"/>
      <c r="H414" s="128"/>
    </row>
    <row r="415" ht="22.5" customHeight="1">
      <c r="A415" s="125"/>
      <c r="B415" s="125"/>
      <c r="C415" s="125"/>
      <c r="D415" s="126"/>
      <c r="E415" s="126"/>
      <c r="F415" s="127"/>
      <c r="G415" s="127"/>
      <c r="H415" s="128"/>
    </row>
    <row r="416" ht="22.5" customHeight="1">
      <c r="A416" s="125"/>
      <c r="B416" s="125"/>
      <c r="C416" s="125"/>
      <c r="D416" s="126"/>
      <c r="E416" s="126"/>
      <c r="F416" s="127"/>
      <c r="G416" s="127"/>
      <c r="H416" s="128"/>
    </row>
    <row r="417" ht="22.5" customHeight="1">
      <c r="A417" s="125"/>
      <c r="B417" s="125"/>
      <c r="C417" s="125"/>
      <c r="D417" s="126"/>
      <c r="E417" s="126"/>
      <c r="F417" s="127"/>
      <c r="G417" s="127"/>
      <c r="H417" s="128"/>
    </row>
    <row r="418" ht="22.5" customHeight="1">
      <c r="A418" s="125"/>
      <c r="B418" s="125"/>
      <c r="C418" s="125"/>
      <c r="D418" s="126"/>
      <c r="E418" s="126"/>
      <c r="F418" s="127"/>
      <c r="G418" s="127"/>
      <c r="H418" s="128"/>
    </row>
    <row r="419" ht="22.5" customHeight="1">
      <c r="A419" s="125"/>
      <c r="B419" s="125"/>
      <c r="C419" s="125"/>
      <c r="D419" s="126"/>
      <c r="E419" s="126"/>
      <c r="F419" s="127"/>
      <c r="G419" s="127"/>
      <c r="H419" s="128"/>
    </row>
    <row r="420" ht="22.5" customHeight="1">
      <c r="A420" s="125"/>
      <c r="B420" s="125"/>
      <c r="C420" s="125"/>
      <c r="D420" s="126"/>
      <c r="E420" s="126"/>
      <c r="F420" s="127"/>
      <c r="G420" s="127"/>
      <c r="H420" s="128"/>
    </row>
    <row r="421" ht="22.5" customHeight="1">
      <c r="A421" s="125"/>
      <c r="B421" s="125"/>
      <c r="C421" s="125"/>
      <c r="D421" s="126"/>
      <c r="E421" s="126"/>
      <c r="F421" s="127"/>
      <c r="G421" s="127"/>
      <c r="H421" s="128"/>
    </row>
    <row r="422" ht="22.5" customHeight="1">
      <c r="A422" s="125"/>
      <c r="B422" s="125"/>
      <c r="C422" s="125"/>
      <c r="D422" s="126"/>
      <c r="E422" s="126"/>
      <c r="F422" s="127"/>
      <c r="G422" s="127"/>
      <c r="H422" s="128"/>
    </row>
    <row r="423" ht="22.5" customHeight="1">
      <c r="A423" s="125"/>
      <c r="B423" s="125"/>
      <c r="C423" s="125"/>
      <c r="D423" s="126"/>
      <c r="E423" s="126"/>
      <c r="F423" s="127"/>
      <c r="G423" s="127"/>
      <c r="H423" s="128"/>
    </row>
    <row r="424" ht="22.5" customHeight="1">
      <c r="A424" s="125"/>
      <c r="B424" s="125"/>
      <c r="C424" s="125"/>
      <c r="D424" s="126"/>
      <c r="E424" s="126"/>
      <c r="F424" s="127"/>
      <c r="G424" s="127"/>
      <c r="H424" s="128"/>
    </row>
    <row r="425" ht="22.5" customHeight="1">
      <c r="A425" s="125"/>
      <c r="B425" s="125"/>
      <c r="C425" s="125"/>
      <c r="D425" s="126"/>
      <c r="E425" s="126"/>
      <c r="F425" s="127"/>
      <c r="G425" s="127"/>
      <c r="H425" s="128"/>
    </row>
    <row r="426" ht="22.5" customHeight="1">
      <c r="A426" s="125"/>
      <c r="B426" s="125"/>
      <c r="C426" s="125"/>
      <c r="D426" s="126"/>
      <c r="E426" s="126"/>
      <c r="F426" s="127"/>
      <c r="G426" s="127"/>
      <c r="H426" s="128"/>
    </row>
    <row r="427" ht="22.5" customHeight="1">
      <c r="A427" s="125"/>
      <c r="B427" s="125"/>
      <c r="C427" s="125"/>
      <c r="D427" s="126"/>
      <c r="E427" s="126"/>
      <c r="F427" s="127"/>
      <c r="G427" s="127"/>
      <c r="H427" s="128"/>
    </row>
    <row r="428" ht="22.5" customHeight="1">
      <c r="A428" s="125"/>
      <c r="B428" s="125"/>
      <c r="C428" s="125"/>
      <c r="D428" s="126"/>
      <c r="E428" s="126"/>
      <c r="F428" s="127"/>
      <c r="G428" s="127"/>
      <c r="H428" s="128"/>
    </row>
    <row r="429" ht="22.5" customHeight="1">
      <c r="A429" s="125"/>
      <c r="B429" s="125"/>
      <c r="C429" s="125"/>
      <c r="D429" s="126"/>
      <c r="E429" s="126"/>
      <c r="F429" s="127"/>
      <c r="G429" s="127"/>
      <c r="H429" s="128"/>
    </row>
    <row r="430" ht="22.5" customHeight="1">
      <c r="A430" s="125"/>
      <c r="B430" s="125"/>
      <c r="C430" s="125"/>
      <c r="D430" s="126"/>
      <c r="E430" s="126"/>
      <c r="F430" s="127"/>
      <c r="G430" s="127"/>
      <c r="H430" s="128"/>
    </row>
    <row r="431" ht="22.5" customHeight="1">
      <c r="A431" s="125"/>
      <c r="B431" s="125"/>
      <c r="C431" s="125"/>
      <c r="D431" s="126"/>
      <c r="E431" s="126"/>
      <c r="F431" s="127"/>
      <c r="G431" s="127"/>
      <c r="H431" s="128"/>
    </row>
    <row r="432" ht="22.5" customHeight="1">
      <c r="A432" s="125"/>
      <c r="B432" s="125"/>
      <c r="C432" s="125"/>
      <c r="D432" s="126"/>
      <c r="E432" s="126"/>
      <c r="F432" s="127"/>
      <c r="G432" s="127"/>
      <c r="H432" s="128"/>
    </row>
    <row r="433" ht="22.5" customHeight="1">
      <c r="A433" s="125"/>
      <c r="B433" s="125"/>
      <c r="C433" s="125"/>
      <c r="D433" s="126"/>
      <c r="E433" s="126"/>
      <c r="F433" s="127"/>
      <c r="G433" s="127"/>
      <c r="H433" s="128"/>
    </row>
    <row r="434" ht="22.5" customHeight="1">
      <c r="A434" s="125"/>
      <c r="B434" s="125"/>
      <c r="C434" s="125"/>
      <c r="D434" s="126"/>
      <c r="E434" s="126"/>
      <c r="F434" s="127"/>
      <c r="G434" s="127"/>
      <c r="H434" s="128"/>
    </row>
    <row r="435" ht="22.5" customHeight="1">
      <c r="A435" s="125"/>
      <c r="B435" s="125"/>
      <c r="C435" s="125"/>
      <c r="D435" s="126"/>
      <c r="E435" s="126"/>
      <c r="F435" s="127"/>
      <c r="G435" s="127"/>
      <c r="H435" s="128"/>
    </row>
    <row r="436" ht="22.5" customHeight="1">
      <c r="A436" s="125"/>
      <c r="B436" s="125"/>
      <c r="C436" s="125"/>
      <c r="D436" s="126"/>
      <c r="E436" s="126"/>
      <c r="F436" s="127"/>
      <c r="G436" s="127"/>
      <c r="H436" s="128"/>
    </row>
    <row r="437" ht="22.5" customHeight="1">
      <c r="A437" s="125"/>
      <c r="B437" s="125"/>
      <c r="C437" s="125"/>
      <c r="D437" s="126"/>
      <c r="E437" s="126"/>
      <c r="F437" s="127"/>
      <c r="G437" s="127"/>
      <c r="H437" s="128"/>
    </row>
    <row r="438" ht="22.5" customHeight="1">
      <c r="A438" s="125"/>
      <c r="B438" s="125"/>
      <c r="C438" s="125"/>
      <c r="D438" s="126"/>
      <c r="E438" s="126"/>
      <c r="F438" s="127"/>
      <c r="G438" s="127"/>
      <c r="H438" s="128"/>
    </row>
    <row r="439" ht="22.5" customHeight="1">
      <c r="A439" s="125"/>
      <c r="B439" s="125"/>
      <c r="C439" s="125"/>
      <c r="D439" s="126"/>
      <c r="E439" s="126"/>
      <c r="F439" s="127"/>
      <c r="G439" s="127"/>
      <c r="H439" s="128"/>
    </row>
    <row r="440" ht="22.5" customHeight="1">
      <c r="A440" s="125"/>
      <c r="B440" s="125"/>
      <c r="C440" s="125"/>
      <c r="D440" s="126"/>
      <c r="E440" s="126"/>
      <c r="F440" s="127"/>
      <c r="G440" s="127"/>
      <c r="H440" s="128"/>
    </row>
    <row r="441" ht="22.5" customHeight="1">
      <c r="A441" s="125"/>
      <c r="B441" s="125"/>
      <c r="C441" s="125"/>
      <c r="D441" s="126"/>
      <c r="E441" s="126"/>
      <c r="F441" s="127"/>
      <c r="G441" s="127"/>
      <c r="H441" s="128"/>
    </row>
    <row r="442" ht="22.5" customHeight="1">
      <c r="A442" s="125"/>
      <c r="B442" s="125"/>
      <c r="C442" s="125"/>
      <c r="D442" s="126"/>
      <c r="E442" s="126"/>
      <c r="F442" s="127"/>
      <c r="G442" s="127"/>
      <c r="H442" s="128"/>
    </row>
    <row r="443" ht="22.5" customHeight="1">
      <c r="A443" s="125"/>
      <c r="B443" s="125"/>
      <c r="C443" s="125"/>
      <c r="D443" s="126"/>
      <c r="E443" s="126"/>
      <c r="F443" s="127"/>
      <c r="G443" s="127"/>
      <c r="H443" s="128"/>
    </row>
    <row r="444" ht="22.5" customHeight="1">
      <c r="A444" s="125"/>
      <c r="B444" s="125"/>
      <c r="C444" s="125"/>
      <c r="D444" s="126"/>
      <c r="E444" s="126"/>
      <c r="F444" s="127"/>
      <c r="G444" s="127"/>
      <c r="H444" s="128"/>
    </row>
    <row r="445" ht="22.5" customHeight="1">
      <c r="A445" s="125"/>
      <c r="B445" s="125"/>
      <c r="C445" s="125"/>
      <c r="D445" s="126"/>
      <c r="E445" s="126"/>
      <c r="F445" s="127"/>
      <c r="G445" s="127"/>
      <c r="H445" s="128"/>
    </row>
    <row r="446" ht="22.5" customHeight="1">
      <c r="A446" s="125"/>
      <c r="B446" s="125"/>
      <c r="C446" s="125"/>
      <c r="D446" s="126"/>
      <c r="E446" s="126"/>
      <c r="F446" s="127"/>
      <c r="G446" s="127"/>
      <c r="H446" s="128"/>
    </row>
    <row r="447" ht="22.5" customHeight="1">
      <c r="A447" s="125"/>
      <c r="B447" s="125"/>
      <c r="C447" s="125"/>
      <c r="D447" s="126"/>
      <c r="E447" s="126"/>
      <c r="F447" s="127"/>
      <c r="G447" s="127"/>
      <c r="H447" s="128"/>
    </row>
    <row r="448" ht="22.5" customHeight="1">
      <c r="A448" s="125"/>
      <c r="B448" s="125"/>
      <c r="C448" s="125"/>
      <c r="D448" s="126"/>
      <c r="E448" s="126"/>
      <c r="F448" s="127"/>
      <c r="G448" s="127"/>
      <c r="H448" s="128"/>
    </row>
    <row r="449" ht="22.5" customHeight="1">
      <c r="A449" s="125"/>
      <c r="B449" s="125"/>
      <c r="C449" s="125"/>
      <c r="D449" s="126"/>
      <c r="E449" s="126"/>
      <c r="F449" s="127"/>
      <c r="G449" s="127"/>
      <c r="H449" s="128"/>
    </row>
    <row r="450" ht="22.5" customHeight="1">
      <c r="A450" s="125"/>
      <c r="B450" s="125"/>
      <c r="C450" s="125"/>
      <c r="D450" s="126"/>
      <c r="E450" s="126"/>
      <c r="F450" s="127"/>
      <c r="G450" s="127"/>
      <c r="H450" s="128"/>
    </row>
    <row r="451" ht="22.5" customHeight="1">
      <c r="A451" s="125"/>
      <c r="B451" s="125"/>
      <c r="C451" s="125"/>
      <c r="D451" s="126"/>
      <c r="E451" s="126"/>
      <c r="F451" s="127"/>
      <c r="G451" s="127"/>
      <c r="H451" s="128"/>
    </row>
    <row r="452" ht="22.5" customHeight="1">
      <c r="A452" s="125"/>
      <c r="B452" s="125"/>
      <c r="C452" s="125"/>
      <c r="D452" s="126"/>
      <c r="E452" s="126"/>
      <c r="F452" s="127"/>
      <c r="G452" s="127"/>
      <c r="H452" s="128"/>
    </row>
    <row r="453" ht="22.5" customHeight="1">
      <c r="A453" s="125"/>
      <c r="B453" s="125"/>
      <c r="C453" s="125"/>
      <c r="D453" s="126"/>
      <c r="E453" s="126"/>
      <c r="F453" s="127"/>
      <c r="G453" s="127"/>
      <c r="H453" s="128"/>
    </row>
    <row r="454" ht="22.5" customHeight="1">
      <c r="A454" s="125"/>
      <c r="B454" s="125"/>
      <c r="C454" s="125"/>
      <c r="D454" s="126"/>
      <c r="E454" s="126"/>
      <c r="F454" s="127"/>
      <c r="G454" s="127"/>
      <c r="H454" s="128"/>
    </row>
    <row r="455" ht="22.5" customHeight="1">
      <c r="A455" s="125"/>
      <c r="B455" s="125"/>
      <c r="C455" s="125"/>
      <c r="D455" s="126"/>
      <c r="E455" s="126"/>
      <c r="F455" s="127"/>
      <c r="G455" s="127"/>
      <c r="H455" s="128"/>
    </row>
    <row r="456" ht="22.5" customHeight="1">
      <c r="A456" s="125"/>
      <c r="B456" s="125"/>
      <c r="C456" s="125"/>
      <c r="D456" s="126"/>
      <c r="E456" s="126"/>
      <c r="F456" s="127"/>
      <c r="G456" s="127"/>
      <c r="H456" s="128"/>
    </row>
    <row r="457" ht="22.5" customHeight="1">
      <c r="A457" s="125"/>
      <c r="B457" s="125"/>
      <c r="C457" s="125"/>
      <c r="D457" s="126"/>
      <c r="E457" s="126"/>
      <c r="F457" s="127"/>
      <c r="G457" s="127"/>
      <c r="H457" s="128"/>
    </row>
    <row r="458" ht="22.5" customHeight="1">
      <c r="A458" s="125"/>
      <c r="B458" s="125"/>
      <c r="C458" s="125"/>
      <c r="D458" s="126"/>
      <c r="E458" s="126"/>
      <c r="F458" s="127"/>
      <c r="G458" s="127"/>
      <c r="H458" s="128"/>
    </row>
    <row r="459" ht="22.5" customHeight="1">
      <c r="A459" s="125"/>
      <c r="B459" s="125"/>
      <c r="C459" s="125"/>
      <c r="D459" s="126"/>
      <c r="E459" s="126"/>
      <c r="F459" s="127"/>
      <c r="G459" s="127"/>
      <c r="H459" s="128"/>
    </row>
    <row r="460" ht="22.5" customHeight="1">
      <c r="A460" s="125"/>
      <c r="B460" s="125"/>
      <c r="C460" s="125"/>
      <c r="D460" s="126"/>
      <c r="E460" s="126"/>
      <c r="F460" s="127"/>
      <c r="G460" s="127"/>
      <c r="H460" s="128"/>
    </row>
    <row r="461" ht="22.5" customHeight="1">
      <c r="A461" s="125"/>
      <c r="B461" s="125"/>
      <c r="C461" s="125"/>
      <c r="D461" s="126"/>
      <c r="E461" s="126"/>
      <c r="F461" s="127"/>
      <c r="G461" s="127"/>
      <c r="H461" s="128"/>
    </row>
    <row r="462" ht="22.5" customHeight="1">
      <c r="A462" s="125"/>
      <c r="B462" s="125"/>
      <c r="C462" s="125"/>
      <c r="D462" s="126"/>
      <c r="E462" s="126"/>
      <c r="F462" s="127"/>
      <c r="G462" s="127"/>
      <c r="H462" s="128"/>
    </row>
    <row r="463" ht="22.5" customHeight="1">
      <c r="A463" s="125"/>
      <c r="B463" s="125"/>
      <c r="C463" s="125"/>
      <c r="D463" s="126"/>
      <c r="E463" s="126"/>
      <c r="F463" s="127"/>
      <c r="G463" s="127"/>
      <c r="H463" s="128"/>
    </row>
    <row r="464" ht="22.5" customHeight="1">
      <c r="A464" s="125"/>
      <c r="B464" s="125"/>
      <c r="C464" s="125"/>
      <c r="D464" s="126"/>
      <c r="E464" s="126"/>
      <c r="F464" s="127"/>
      <c r="G464" s="127"/>
      <c r="H464" s="128"/>
    </row>
    <row r="465" ht="22.5" customHeight="1">
      <c r="A465" s="125"/>
      <c r="B465" s="125"/>
      <c r="C465" s="125"/>
      <c r="D465" s="126"/>
      <c r="E465" s="126"/>
      <c r="F465" s="127"/>
      <c r="G465" s="127"/>
      <c r="H465" s="128"/>
    </row>
    <row r="466" ht="22.5" customHeight="1">
      <c r="A466" s="125"/>
      <c r="B466" s="125"/>
      <c r="C466" s="125"/>
      <c r="D466" s="126"/>
      <c r="E466" s="126"/>
      <c r="F466" s="127"/>
      <c r="G466" s="127"/>
      <c r="H466" s="128"/>
    </row>
    <row r="467" ht="22.5" customHeight="1">
      <c r="A467" s="125"/>
      <c r="B467" s="125"/>
      <c r="C467" s="125"/>
      <c r="D467" s="126"/>
      <c r="E467" s="126"/>
      <c r="F467" s="127"/>
      <c r="G467" s="127"/>
      <c r="H467" s="128"/>
    </row>
    <row r="468" ht="22.5" customHeight="1">
      <c r="A468" s="125"/>
      <c r="B468" s="125"/>
      <c r="C468" s="125"/>
      <c r="D468" s="126"/>
      <c r="E468" s="126"/>
      <c r="F468" s="127"/>
      <c r="G468" s="127"/>
      <c r="H468" s="128"/>
    </row>
    <row r="469" ht="22.5" customHeight="1">
      <c r="A469" s="125"/>
      <c r="B469" s="125"/>
      <c r="C469" s="125"/>
      <c r="D469" s="126"/>
      <c r="E469" s="126"/>
      <c r="F469" s="127"/>
      <c r="G469" s="127"/>
      <c r="H469" s="128"/>
    </row>
    <row r="470" ht="22.5" customHeight="1">
      <c r="A470" s="125"/>
      <c r="B470" s="125"/>
      <c r="C470" s="125"/>
      <c r="D470" s="126"/>
      <c r="E470" s="126"/>
      <c r="F470" s="127"/>
      <c r="G470" s="127"/>
      <c r="H470" s="128"/>
    </row>
    <row r="471" ht="22.5" customHeight="1">
      <c r="A471" s="125"/>
      <c r="B471" s="125"/>
      <c r="C471" s="125"/>
      <c r="D471" s="126"/>
      <c r="E471" s="126"/>
      <c r="F471" s="127"/>
      <c r="G471" s="127"/>
      <c r="H471" s="128"/>
    </row>
    <row r="472" ht="22.5" customHeight="1">
      <c r="A472" s="125"/>
      <c r="B472" s="125"/>
      <c r="C472" s="125"/>
      <c r="D472" s="126"/>
      <c r="E472" s="126"/>
      <c r="F472" s="127"/>
      <c r="G472" s="127"/>
      <c r="H472" s="128"/>
    </row>
    <row r="473" ht="22.5" customHeight="1">
      <c r="A473" s="125"/>
      <c r="B473" s="125"/>
      <c r="C473" s="125"/>
      <c r="D473" s="126"/>
      <c r="E473" s="126"/>
      <c r="F473" s="127"/>
      <c r="G473" s="127"/>
      <c r="H473" s="128"/>
    </row>
    <row r="474" ht="22.5" customHeight="1">
      <c r="A474" s="125"/>
      <c r="B474" s="125"/>
      <c r="C474" s="125"/>
      <c r="D474" s="126"/>
      <c r="E474" s="126"/>
      <c r="F474" s="127"/>
      <c r="G474" s="127"/>
      <c r="H474" s="128"/>
    </row>
    <row r="475" ht="22.5" customHeight="1">
      <c r="A475" s="125"/>
      <c r="B475" s="125"/>
      <c r="C475" s="125"/>
      <c r="D475" s="126"/>
      <c r="E475" s="126"/>
      <c r="F475" s="127"/>
      <c r="G475" s="127"/>
      <c r="H475" s="128"/>
    </row>
    <row r="476" ht="22.5" customHeight="1">
      <c r="A476" s="125"/>
      <c r="B476" s="125"/>
      <c r="C476" s="125"/>
      <c r="D476" s="126"/>
      <c r="E476" s="126"/>
      <c r="F476" s="127"/>
      <c r="G476" s="127"/>
      <c r="H476" s="128"/>
    </row>
    <row r="477" ht="22.5" customHeight="1">
      <c r="A477" s="125"/>
      <c r="B477" s="125"/>
      <c r="C477" s="125"/>
      <c r="D477" s="126"/>
      <c r="E477" s="126"/>
      <c r="F477" s="127"/>
      <c r="G477" s="127"/>
      <c r="H477" s="128"/>
    </row>
    <row r="478" ht="22.5" customHeight="1">
      <c r="A478" s="125"/>
      <c r="B478" s="125"/>
      <c r="C478" s="125"/>
      <c r="D478" s="126"/>
      <c r="E478" s="126"/>
      <c r="F478" s="127"/>
      <c r="G478" s="127"/>
      <c r="H478" s="128"/>
    </row>
    <row r="479" ht="22.5" customHeight="1">
      <c r="A479" s="125"/>
      <c r="B479" s="125"/>
      <c r="C479" s="125"/>
      <c r="D479" s="126"/>
      <c r="E479" s="126"/>
      <c r="F479" s="127"/>
      <c r="G479" s="127"/>
      <c r="H479" s="128"/>
    </row>
    <row r="480" ht="22.5" customHeight="1">
      <c r="A480" s="125"/>
      <c r="B480" s="125"/>
      <c r="C480" s="125"/>
      <c r="D480" s="126"/>
      <c r="E480" s="126"/>
      <c r="F480" s="127"/>
      <c r="G480" s="127"/>
      <c r="H480" s="128"/>
    </row>
    <row r="481" ht="22.5" customHeight="1">
      <c r="A481" s="125"/>
      <c r="B481" s="125"/>
      <c r="C481" s="125"/>
      <c r="D481" s="126"/>
      <c r="E481" s="126"/>
      <c r="F481" s="127"/>
      <c r="G481" s="127"/>
      <c r="H481" s="128"/>
    </row>
    <row r="482" ht="22.5" customHeight="1">
      <c r="A482" s="125"/>
      <c r="B482" s="125"/>
      <c r="C482" s="125"/>
      <c r="D482" s="126"/>
      <c r="E482" s="126"/>
      <c r="F482" s="127"/>
      <c r="G482" s="127"/>
      <c r="H482" s="128"/>
    </row>
    <row r="483" ht="22.5" customHeight="1">
      <c r="A483" s="125"/>
      <c r="B483" s="125"/>
      <c r="C483" s="125"/>
      <c r="D483" s="126"/>
      <c r="E483" s="126"/>
      <c r="F483" s="127"/>
      <c r="G483" s="127"/>
      <c r="H483" s="128"/>
    </row>
    <row r="484" ht="22.5" customHeight="1">
      <c r="A484" s="125"/>
      <c r="B484" s="125"/>
      <c r="C484" s="125"/>
      <c r="D484" s="126"/>
      <c r="E484" s="126"/>
      <c r="F484" s="127"/>
      <c r="G484" s="127"/>
      <c r="H484" s="128"/>
    </row>
    <row r="485" ht="22.5" customHeight="1">
      <c r="A485" s="125"/>
      <c r="B485" s="125"/>
      <c r="C485" s="125"/>
      <c r="D485" s="126"/>
      <c r="E485" s="126"/>
      <c r="F485" s="127"/>
      <c r="G485" s="127"/>
      <c r="H485" s="128"/>
    </row>
    <row r="486" ht="22.5" customHeight="1">
      <c r="A486" s="125"/>
      <c r="B486" s="125"/>
      <c r="C486" s="125"/>
      <c r="D486" s="126"/>
      <c r="E486" s="126"/>
      <c r="F486" s="127"/>
      <c r="G486" s="127"/>
      <c r="H486" s="128"/>
    </row>
    <row r="487" ht="22.5" customHeight="1">
      <c r="A487" s="125"/>
      <c r="B487" s="125"/>
      <c r="C487" s="125"/>
      <c r="D487" s="126"/>
      <c r="E487" s="126"/>
      <c r="F487" s="127"/>
      <c r="G487" s="127"/>
      <c r="H487" s="128"/>
    </row>
    <row r="488" ht="22.5" customHeight="1">
      <c r="A488" s="125"/>
      <c r="B488" s="125"/>
      <c r="C488" s="125"/>
      <c r="D488" s="126"/>
      <c r="E488" s="126"/>
      <c r="F488" s="127"/>
      <c r="G488" s="127"/>
      <c r="H488" s="128"/>
    </row>
    <row r="489" ht="22.5" customHeight="1">
      <c r="A489" s="125"/>
      <c r="B489" s="125"/>
      <c r="C489" s="125"/>
      <c r="D489" s="126"/>
      <c r="E489" s="126"/>
      <c r="F489" s="127"/>
      <c r="G489" s="127"/>
      <c r="H489" s="128"/>
    </row>
    <row r="490" ht="22.5" customHeight="1">
      <c r="A490" s="125"/>
      <c r="B490" s="125"/>
      <c r="C490" s="125"/>
      <c r="D490" s="126"/>
      <c r="E490" s="126"/>
      <c r="F490" s="127"/>
      <c r="G490" s="127"/>
      <c r="H490" s="128"/>
    </row>
    <row r="491" ht="22.5" customHeight="1">
      <c r="A491" s="125"/>
      <c r="B491" s="125"/>
      <c r="C491" s="125"/>
      <c r="D491" s="126"/>
      <c r="E491" s="126"/>
      <c r="F491" s="127"/>
      <c r="G491" s="127"/>
      <c r="H491" s="128"/>
    </row>
    <row r="492" ht="22.5" customHeight="1">
      <c r="A492" s="125"/>
      <c r="B492" s="125"/>
      <c r="C492" s="125"/>
      <c r="D492" s="126"/>
      <c r="E492" s="126"/>
      <c r="F492" s="127"/>
      <c r="G492" s="127"/>
      <c r="H492" s="128"/>
    </row>
    <row r="493" ht="22.5" customHeight="1">
      <c r="A493" s="125"/>
      <c r="B493" s="125"/>
      <c r="C493" s="125"/>
      <c r="D493" s="126"/>
      <c r="E493" s="126"/>
      <c r="F493" s="127"/>
      <c r="G493" s="127"/>
      <c r="H493" s="128"/>
    </row>
    <row r="494" ht="22.5" customHeight="1">
      <c r="A494" s="125"/>
      <c r="B494" s="125"/>
      <c r="C494" s="125"/>
      <c r="D494" s="126"/>
      <c r="E494" s="126"/>
      <c r="F494" s="127"/>
      <c r="G494" s="127"/>
      <c r="H494" s="128"/>
    </row>
    <row r="495" ht="22.5" customHeight="1">
      <c r="A495" s="125"/>
      <c r="B495" s="125"/>
      <c r="C495" s="125"/>
      <c r="D495" s="126"/>
      <c r="E495" s="126"/>
      <c r="F495" s="127"/>
      <c r="G495" s="127"/>
      <c r="H495" s="128"/>
    </row>
    <row r="496" ht="22.5" customHeight="1">
      <c r="A496" s="125"/>
      <c r="B496" s="125"/>
      <c r="C496" s="125"/>
      <c r="D496" s="126"/>
      <c r="E496" s="126"/>
      <c r="F496" s="127"/>
      <c r="G496" s="127"/>
      <c r="H496" s="128"/>
    </row>
    <row r="497" ht="22.5" customHeight="1">
      <c r="A497" s="125"/>
      <c r="B497" s="125"/>
      <c r="C497" s="125"/>
      <c r="D497" s="126"/>
      <c r="E497" s="126"/>
      <c r="F497" s="127"/>
      <c r="G497" s="127"/>
      <c r="H497" s="128"/>
    </row>
    <row r="498" ht="22.5" customHeight="1">
      <c r="A498" s="125"/>
      <c r="B498" s="125"/>
      <c r="C498" s="125"/>
      <c r="D498" s="126"/>
      <c r="E498" s="126"/>
      <c r="F498" s="127"/>
      <c r="G498" s="127"/>
      <c r="H498" s="128"/>
    </row>
    <row r="499" ht="22.5" customHeight="1">
      <c r="A499" s="125"/>
      <c r="B499" s="125"/>
      <c r="C499" s="125"/>
      <c r="D499" s="126"/>
      <c r="E499" s="126"/>
      <c r="F499" s="127"/>
      <c r="G499" s="127"/>
      <c r="H499" s="128"/>
    </row>
    <row r="500" ht="22.5" customHeight="1">
      <c r="A500" s="125"/>
      <c r="B500" s="125"/>
      <c r="C500" s="125"/>
      <c r="D500" s="126"/>
      <c r="E500" s="126"/>
      <c r="F500" s="127"/>
      <c r="G500" s="127"/>
      <c r="H500" s="128"/>
    </row>
    <row r="501" ht="22.5" customHeight="1">
      <c r="A501" s="125"/>
      <c r="B501" s="125"/>
      <c r="C501" s="125"/>
      <c r="D501" s="126"/>
      <c r="E501" s="126"/>
      <c r="F501" s="127"/>
      <c r="G501" s="127"/>
      <c r="H501" s="128"/>
    </row>
    <row r="502" ht="22.5" customHeight="1">
      <c r="A502" s="125"/>
      <c r="B502" s="125"/>
      <c r="C502" s="125"/>
      <c r="D502" s="126"/>
      <c r="E502" s="126"/>
      <c r="F502" s="127"/>
      <c r="G502" s="127"/>
      <c r="H502" s="128"/>
    </row>
    <row r="503" ht="22.5" customHeight="1">
      <c r="A503" s="125"/>
      <c r="B503" s="125"/>
      <c r="C503" s="125"/>
      <c r="D503" s="126"/>
      <c r="E503" s="126"/>
      <c r="F503" s="127"/>
      <c r="G503" s="127"/>
      <c r="H503" s="128"/>
    </row>
    <row r="504" ht="22.5" customHeight="1">
      <c r="A504" s="125"/>
      <c r="B504" s="125"/>
      <c r="C504" s="125"/>
      <c r="D504" s="126"/>
      <c r="E504" s="126"/>
      <c r="F504" s="127"/>
      <c r="G504" s="127"/>
      <c r="H504" s="128"/>
    </row>
    <row r="505" ht="22.5" customHeight="1">
      <c r="A505" s="125"/>
      <c r="B505" s="125"/>
      <c r="C505" s="125"/>
      <c r="D505" s="126"/>
      <c r="E505" s="126"/>
      <c r="F505" s="127"/>
      <c r="G505" s="127"/>
      <c r="H505" s="128"/>
    </row>
    <row r="506" ht="22.5" customHeight="1">
      <c r="A506" s="125"/>
      <c r="B506" s="125"/>
      <c r="C506" s="125"/>
      <c r="D506" s="126"/>
      <c r="E506" s="126"/>
      <c r="F506" s="127"/>
      <c r="G506" s="127"/>
      <c r="H506" s="128"/>
    </row>
    <row r="507" ht="22.5" customHeight="1">
      <c r="A507" s="125"/>
      <c r="B507" s="125"/>
      <c r="C507" s="125"/>
      <c r="D507" s="126"/>
      <c r="E507" s="126"/>
      <c r="F507" s="127"/>
      <c r="G507" s="127"/>
      <c r="H507" s="128"/>
    </row>
    <row r="508" ht="22.5" customHeight="1">
      <c r="A508" s="125"/>
      <c r="B508" s="125"/>
      <c r="C508" s="125"/>
      <c r="D508" s="126"/>
      <c r="E508" s="126"/>
      <c r="F508" s="127"/>
      <c r="G508" s="127"/>
      <c r="H508" s="128"/>
    </row>
    <row r="509" ht="22.5" customHeight="1">
      <c r="A509" s="125"/>
      <c r="B509" s="125"/>
      <c r="C509" s="125"/>
      <c r="D509" s="126"/>
      <c r="E509" s="126"/>
      <c r="F509" s="127"/>
      <c r="G509" s="127"/>
      <c r="H509" s="128"/>
    </row>
    <row r="510" ht="22.5" customHeight="1">
      <c r="A510" s="125"/>
      <c r="B510" s="125"/>
      <c r="C510" s="125"/>
      <c r="D510" s="126"/>
      <c r="E510" s="126"/>
      <c r="F510" s="127"/>
      <c r="G510" s="127"/>
      <c r="H510" s="128"/>
    </row>
    <row r="511" ht="22.5" customHeight="1">
      <c r="A511" s="125"/>
      <c r="B511" s="125"/>
      <c r="C511" s="125"/>
      <c r="D511" s="126"/>
      <c r="E511" s="126"/>
      <c r="F511" s="127"/>
      <c r="G511" s="127"/>
      <c r="H511" s="128"/>
    </row>
    <row r="512" ht="22.5" customHeight="1">
      <c r="A512" s="125"/>
      <c r="B512" s="125"/>
      <c r="C512" s="125"/>
      <c r="D512" s="126"/>
      <c r="E512" s="126"/>
      <c r="F512" s="127"/>
      <c r="G512" s="127"/>
      <c r="H512" s="128"/>
    </row>
    <row r="513" ht="22.5" customHeight="1">
      <c r="A513" s="125"/>
      <c r="B513" s="125"/>
      <c r="C513" s="125"/>
      <c r="D513" s="126"/>
      <c r="E513" s="126"/>
      <c r="F513" s="127"/>
      <c r="G513" s="127"/>
      <c r="H513" s="128"/>
    </row>
    <row r="514" ht="22.5" customHeight="1">
      <c r="A514" s="125"/>
      <c r="B514" s="125"/>
      <c r="C514" s="125"/>
      <c r="D514" s="126"/>
      <c r="E514" s="126"/>
      <c r="F514" s="127"/>
      <c r="G514" s="127"/>
      <c r="H514" s="128"/>
    </row>
    <row r="515" ht="22.5" customHeight="1">
      <c r="A515" s="125"/>
      <c r="B515" s="125"/>
      <c r="C515" s="125"/>
      <c r="D515" s="126"/>
      <c r="E515" s="126"/>
      <c r="F515" s="127"/>
      <c r="G515" s="127"/>
      <c r="H515" s="128"/>
    </row>
    <row r="516" ht="22.5" customHeight="1">
      <c r="A516" s="125"/>
      <c r="B516" s="125"/>
      <c r="C516" s="125"/>
      <c r="D516" s="126"/>
      <c r="E516" s="126"/>
      <c r="F516" s="127"/>
      <c r="G516" s="127"/>
      <c r="H516" s="128"/>
    </row>
    <row r="517" ht="22.5" customHeight="1">
      <c r="A517" s="125"/>
      <c r="B517" s="125"/>
      <c r="C517" s="125"/>
      <c r="D517" s="126"/>
      <c r="E517" s="126"/>
      <c r="F517" s="127"/>
      <c r="G517" s="127"/>
      <c r="H517" s="128"/>
    </row>
    <row r="518" ht="22.5" customHeight="1">
      <c r="A518" s="125"/>
      <c r="B518" s="125"/>
      <c r="C518" s="125"/>
      <c r="D518" s="126"/>
      <c r="E518" s="126"/>
      <c r="F518" s="127"/>
      <c r="G518" s="127"/>
      <c r="H518" s="128"/>
    </row>
    <row r="519" ht="22.5" customHeight="1">
      <c r="A519" s="125"/>
      <c r="B519" s="125"/>
      <c r="C519" s="125"/>
      <c r="D519" s="126"/>
      <c r="E519" s="126"/>
      <c r="F519" s="127"/>
      <c r="G519" s="127"/>
      <c r="H519" s="128"/>
    </row>
    <row r="520" ht="22.5" customHeight="1">
      <c r="A520" s="125"/>
      <c r="B520" s="125"/>
      <c r="C520" s="125"/>
      <c r="D520" s="126"/>
      <c r="E520" s="126"/>
      <c r="F520" s="127"/>
      <c r="G520" s="127"/>
      <c r="H520" s="128"/>
    </row>
    <row r="521" ht="22.5" customHeight="1">
      <c r="A521" s="125"/>
      <c r="B521" s="125"/>
      <c r="C521" s="125"/>
      <c r="D521" s="126"/>
      <c r="E521" s="126"/>
      <c r="F521" s="127"/>
      <c r="G521" s="127"/>
      <c r="H521" s="128"/>
    </row>
    <row r="522" ht="22.5" customHeight="1">
      <c r="A522" s="125"/>
      <c r="B522" s="125"/>
      <c r="C522" s="125"/>
      <c r="D522" s="126"/>
      <c r="E522" s="126"/>
      <c r="F522" s="127"/>
      <c r="G522" s="127"/>
      <c r="H522" s="128"/>
    </row>
    <row r="523" ht="22.5" customHeight="1">
      <c r="A523" s="125"/>
      <c r="B523" s="125"/>
      <c r="C523" s="125"/>
      <c r="D523" s="126"/>
      <c r="E523" s="126"/>
      <c r="F523" s="127"/>
      <c r="G523" s="127"/>
      <c r="H523" s="128"/>
    </row>
    <row r="524" ht="22.5" customHeight="1">
      <c r="A524" s="125"/>
      <c r="B524" s="125"/>
      <c r="C524" s="125"/>
      <c r="D524" s="126"/>
      <c r="E524" s="126"/>
      <c r="F524" s="127"/>
      <c r="G524" s="127"/>
      <c r="H524" s="128"/>
    </row>
    <row r="525" ht="22.5" customHeight="1">
      <c r="A525" s="125"/>
      <c r="B525" s="125"/>
      <c r="C525" s="125"/>
      <c r="D525" s="126"/>
      <c r="E525" s="126"/>
      <c r="F525" s="127"/>
      <c r="G525" s="127"/>
      <c r="H525" s="128"/>
    </row>
    <row r="526" ht="22.5" customHeight="1">
      <c r="A526" s="125"/>
      <c r="B526" s="125"/>
      <c r="C526" s="125"/>
      <c r="D526" s="126"/>
      <c r="E526" s="126"/>
      <c r="F526" s="127"/>
      <c r="G526" s="127"/>
      <c r="H526" s="128"/>
    </row>
    <row r="527" ht="22.5" customHeight="1">
      <c r="A527" s="125"/>
      <c r="B527" s="125"/>
      <c r="C527" s="125"/>
      <c r="D527" s="126"/>
      <c r="E527" s="126"/>
      <c r="F527" s="127"/>
      <c r="G527" s="127"/>
      <c r="H527" s="128"/>
    </row>
    <row r="528" ht="22.5" customHeight="1">
      <c r="A528" s="125"/>
      <c r="B528" s="125"/>
      <c r="C528" s="125"/>
      <c r="D528" s="126"/>
      <c r="E528" s="126"/>
      <c r="F528" s="127"/>
      <c r="G528" s="127"/>
      <c r="H528" s="128"/>
    </row>
    <row r="529" ht="22.5" customHeight="1">
      <c r="A529" s="125"/>
      <c r="B529" s="125"/>
      <c r="C529" s="125"/>
      <c r="D529" s="126"/>
      <c r="E529" s="126"/>
      <c r="F529" s="127"/>
      <c r="G529" s="127"/>
      <c r="H529" s="128"/>
    </row>
    <row r="530" ht="22.5" customHeight="1">
      <c r="A530" s="125"/>
      <c r="B530" s="125"/>
      <c r="C530" s="125"/>
      <c r="D530" s="126"/>
      <c r="E530" s="126"/>
      <c r="F530" s="127"/>
      <c r="G530" s="127"/>
      <c r="H530" s="128"/>
    </row>
    <row r="531" ht="22.5" customHeight="1">
      <c r="A531" s="125"/>
      <c r="B531" s="125"/>
      <c r="C531" s="125"/>
      <c r="D531" s="126"/>
      <c r="E531" s="126"/>
      <c r="F531" s="127"/>
      <c r="G531" s="127"/>
      <c r="H531" s="128"/>
    </row>
    <row r="532" ht="22.5" customHeight="1">
      <c r="A532" s="125"/>
      <c r="B532" s="125"/>
      <c r="C532" s="125"/>
      <c r="D532" s="126"/>
      <c r="E532" s="126"/>
      <c r="F532" s="127"/>
      <c r="G532" s="127"/>
      <c r="H532" s="128"/>
    </row>
    <row r="533" ht="22.5" customHeight="1">
      <c r="A533" s="125"/>
      <c r="B533" s="125"/>
      <c r="C533" s="125"/>
      <c r="D533" s="126"/>
      <c r="E533" s="126"/>
      <c r="F533" s="127"/>
      <c r="G533" s="127"/>
      <c r="H533" s="128"/>
    </row>
    <row r="534" ht="22.5" customHeight="1">
      <c r="A534" s="125"/>
      <c r="B534" s="125"/>
      <c r="C534" s="125"/>
      <c r="D534" s="126"/>
      <c r="E534" s="126"/>
      <c r="F534" s="127"/>
      <c r="G534" s="127"/>
      <c r="H534" s="128"/>
    </row>
    <row r="535" ht="22.5" customHeight="1">
      <c r="A535" s="125"/>
      <c r="B535" s="125"/>
      <c r="C535" s="125"/>
      <c r="D535" s="126"/>
      <c r="E535" s="126"/>
      <c r="F535" s="127"/>
      <c r="G535" s="127"/>
      <c r="H535" s="128"/>
    </row>
    <row r="536" ht="22.5" customHeight="1">
      <c r="A536" s="125"/>
      <c r="B536" s="125"/>
      <c r="C536" s="125"/>
      <c r="D536" s="126"/>
      <c r="E536" s="126"/>
      <c r="F536" s="127"/>
      <c r="G536" s="127"/>
      <c r="H536" s="128"/>
    </row>
    <row r="537" ht="22.5" customHeight="1">
      <c r="A537" s="125"/>
      <c r="B537" s="125"/>
      <c r="C537" s="125"/>
      <c r="D537" s="126"/>
      <c r="E537" s="126"/>
      <c r="F537" s="127"/>
      <c r="G537" s="127"/>
      <c r="H537" s="128"/>
    </row>
    <row r="538" ht="22.5" customHeight="1">
      <c r="A538" s="125"/>
      <c r="B538" s="125"/>
      <c r="C538" s="125"/>
      <c r="D538" s="126"/>
      <c r="E538" s="126"/>
      <c r="F538" s="127"/>
      <c r="G538" s="127"/>
      <c r="H538" s="128"/>
    </row>
    <row r="539" ht="22.5" customHeight="1">
      <c r="A539" s="125"/>
      <c r="B539" s="125"/>
      <c r="C539" s="125"/>
      <c r="D539" s="126"/>
      <c r="E539" s="126"/>
      <c r="F539" s="127"/>
      <c r="G539" s="127"/>
      <c r="H539" s="128"/>
    </row>
    <row r="540" ht="22.5" customHeight="1">
      <c r="A540" s="125"/>
      <c r="B540" s="125"/>
      <c r="C540" s="125"/>
      <c r="D540" s="126"/>
      <c r="E540" s="126"/>
      <c r="F540" s="127"/>
      <c r="G540" s="127"/>
      <c r="H540" s="128"/>
    </row>
    <row r="541" ht="22.5" customHeight="1">
      <c r="A541" s="125"/>
      <c r="B541" s="125"/>
      <c r="C541" s="125"/>
      <c r="D541" s="126"/>
      <c r="E541" s="126"/>
      <c r="F541" s="127"/>
      <c r="G541" s="127"/>
      <c r="H541" s="128"/>
    </row>
    <row r="542" ht="22.5" customHeight="1">
      <c r="A542" s="125"/>
      <c r="B542" s="125"/>
      <c r="C542" s="125"/>
      <c r="D542" s="126"/>
      <c r="E542" s="126"/>
      <c r="F542" s="127"/>
      <c r="G542" s="127"/>
      <c r="H542" s="128"/>
    </row>
    <row r="543" ht="22.5" customHeight="1">
      <c r="A543" s="125"/>
      <c r="B543" s="125"/>
      <c r="C543" s="125"/>
      <c r="D543" s="126"/>
      <c r="E543" s="126"/>
      <c r="F543" s="127"/>
      <c r="G543" s="127"/>
      <c r="H543" s="128"/>
    </row>
    <row r="544" ht="22.5" customHeight="1">
      <c r="A544" s="125"/>
      <c r="B544" s="125"/>
      <c r="C544" s="125"/>
      <c r="D544" s="126"/>
      <c r="E544" s="126"/>
      <c r="F544" s="127"/>
      <c r="G544" s="127"/>
      <c r="H544" s="128"/>
    </row>
    <row r="545" ht="22.5" customHeight="1">
      <c r="A545" s="125"/>
      <c r="B545" s="125"/>
      <c r="C545" s="125"/>
      <c r="D545" s="126"/>
      <c r="E545" s="126"/>
      <c r="F545" s="127"/>
      <c r="G545" s="127"/>
      <c r="H545" s="128"/>
    </row>
    <row r="546" ht="22.5" customHeight="1">
      <c r="A546" s="125"/>
      <c r="B546" s="125"/>
      <c r="C546" s="125"/>
      <c r="D546" s="126"/>
      <c r="E546" s="126"/>
      <c r="F546" s="127"/>
      <c r="G546" s="127"/>
      <c r="H546" s="128"/>
    </row>
    <row r="547" ht="22.5" customHeight="1">
      <c r="A547" s="125"/>
      <c r="B547" s="125"/>
      <c r="C547" s="125"/>
      <c r="D547" s="126"/>
      <c r="E547" s="126"/>
      <c r="F547" s="127"/>
      <c r="G547" s="127"/>
      <c r="H547" s="128"/>
    </row>
    <row r="548" ht="22.5" customHeight="1">
      <c r="A548" s="125"/>
      <c r="B548" s="125"/>
      <c r="C548" s="125"/>
      <c r="D548" s="126"/>
      <c r="E548" s="126"/>
      <c r="F548" s="127"/>
      <c r="G548" s="127"/>
      <c r="H548" s="128"/>
    </row>
    <row r="549" ht="22.5" customHeight="1">
      <c r="A549" s="125"/>
      <c r="B549" s="125"/>
      <c r="C549" s="125"/>
      <c r="D549" s="126"/>
      <c r="E549" s="126"/>
      <c r="F549" s="127"/>
      <c r="G549" s="127"/>
      <c r="H549" s="128"/>
    </row>
    <row r="550" ht="22.5" customHeight="1">
      <c r="A550" s="125"/>
      <c r="B550" s="125"/>
      <c r="C550" s="125"/>
      <c r="D550" s="126"/>
      <c r="E550" s="126"/>
      <c r="F550" s="127"/>
      <c r="G550" s="127"/>
      <c r="H550" s="128"/>
    </row>
    <row r="551" ht="22.5" customHeight="1">
      <c r="A551" s="125"/>
      <c r="B551" s="125"/>
      <c r="C551" s="125"/>
      <c r="D551" s="126"/>
      <c r="E551" s="126"/>
      <c r="F551" s="127"/>
      <c r="G551" s="127"/>
      <c r="H551" s="128"/>
    </row>
    <row r="552" ht="22.5" customHeight="1">
      <c r="A552" s="125"/>
      <c r="B552" s="125"/>
      <c r="C552" s="125"/>
      <c r="D552" s="126"/>
      <c r="E552" s="126"/>
      <c r="F552" s="127"/>
      <c r="G552" s="127"/>
      <c r="H552" s="128"/>
    </row>
    <row r="553" ht="22.5" customHeight="1">
      <c r="A553" s="125"/>
      <c r="B553" s="125"/>
      <c r="C553" s="125"/>
      <c r="D553" s="126"/>
      <c r="E553" s="126"/>
      <c r="F553" s="127"/>
      <c r="G553" s="127"/>
      <c r="H553" s="128"/>
    </row>
    <row r="554" ht="22.5" customHeight="1">
      <c r="A554" s="125"/>
      <c r="B554" s="125"/>
      <c r="C554" s="125"/>
      <c r="D554" s="126"/>
      <c r="E554" s="126"/>
      <c r="F554" s="127"/>
      <c r="G554" s="127"/>
      <c r="H554" s="128"/>
    </row>
    <row r="555" ht="22.5" customHeight="1">
      <c r="A555" s="125"/>
      <c r="B555" s="125"/>
      <c r="C555" s="125"/>
      <c r="D555" s="126"/>
      <c r="E555" s="126"/>
      <c r="F555" s="127"/>
      <c r="G555" s="127"/>
      <c r="H555" s="128"/>
    </row>
    <row r="556" ht="22.5" customHeight="1">
      <c r="A556" s="125"/>
      <c r="B556" s="125"/>
      <c r="C556" s="125"/>
      <c r="D556" s="126"/>
      <c r="E556" s="126"/>
      <c r="F556" s="127"/>
      <c r="G556" s="127"/>
      <c r="H556" s="128"/>
    </row>
    <row r="557" ht="22.5" customHeight="1">
      <c r="A557" s="125"/>
      <c r="B557" s="125"/>
      <c r="C557" s="125"/>
      <c r="D557" s="126"/>
      <c r="E557" s="126"/>
      <c r="F557" s="127"/>
      <c r="G557" s="127"/>
      <c r="H557" s="128"/>
    </row>
    <row r="558" ht="22.5" customHeight="1">
      <c r="A558" s="125"/>
      <c r="B558" s="125"/>
      <c r="C558" s="125"/>
      <c r="D558" s="126"/>
      <c r="E558" s="126"/>
      <c r="F558" s="127"/>
      <c r="G558" s="127"/>
      <c r="H558" s="128"/>
    </row>
    <row r="559" ht="22.5" customHeight="1">
      <c r="A559" s="125"/>
      <c r="B559" s="125"/>
      <c r="C559" s="125"/>
      <c r="D559" s="126"/>
      <c r="E559" s="126"/>
      <c r="F559" s="127"/>
      <c r="G559" s="127"/>
      <c r="H559" s="128"/>
    </row>
    <row r="560" ht="22.5" customHeight="1">
      <c r="A560" s="125"/>
      <c r="B560" s="125"/>
      <c r="C560" s="125"/>
      <c r="D560" s="126"/>
      <c r="E560" s="126"/>
      <c r="F560" s="127"/>
      <c r="G560" s="127"/>
      <c r="H560" s="128"/>
    </row>
    <row r="561" ht="22.5" customHeight="1">
      <c r="A561" s="125"/>
      <c r="B561" s="125"/>
      <c r="C561" s="125"/>
      <c r="D561" s="126"/>
      <c r="E561" s="126"/>
      <c r="F561" s="127"/>
      <c r="G561" s="127"/>
      <c r="H561" s="128"/>
    </row>
    <row r="562" ht="22.5" customHeight="1">
      <c r="A562" s="125"/>
      <c r="B562" s="125"/>
      <c r="C562" s="125"/>
      <c r="D562" s="126"/>
      <c r="E562" s="126"/>
      <c r="F562" s="127"/>
      <c r="G562" s="127"/>
      <c r="H562" s="128"/>
    </row>
    <row r="563" ht="22.5" customHeight="1">
      <c r="A563" s="125"/>
      <c r="B563" s="125"/>
      <c r="C563" s="125"/>
      <c r="D563" s="126"/>
      <c r="E563" s="126"/>
      <c r="F563" s="127"/>
      <c r="G563" s="127"/>
      <c r="H563" s="128"/>
    </row>
    <row r="564" ht="22.5" customHeight="1">
      <c r="A564" s="125"/>
      <c r="B564" s="125"/>
      <c r="C564" s="125"/>
      <c r="D564" s="126"/>
      <c r="E564" s="126"/>
      <c r="F564" s="127"/>
      <c r="G564" s="127"/>
      <c r="H564" s="128"/>
    </row>
    <row r="565" ht="22.5" customHeight="1">
      <c r="A565" s="125"/>
      <c r="B565" s="125"/>
      <c r="C565" s="125"/>
      <c r="D565" s="126"/>
      <c r="E565" s="126"/>
      <c r="F565" s="127"/>
      <c r="G565" s="127"/>
      <c r="H565" s="128"/>
    </row>
    <row r="566" ht="22.5" customHeight="1">
      <c r="A566" s="125"/>
      <c r="B566" s="125"/>
      <c r="C566" s="125"/>
      <c r="D566" s="126"/>
      <c r="E566" s="126"/>
      <c r="F566" s="127"/>
      <c r="G566" s="127"/>
      <c r="H566" s="128"/>
    </row>
    <row r="567" ht="22.5" customHeight="1">
      <c r="A567" s="125"/>
      <c r="B567" s="125"/>
      <c r="C567" s="125"/>
      <c r="D567" s="126"/>
      <c r="E567" s="126"/>
      <c r="F567" s="127"/>
      <c r="G567" s="127"/>
      <c r="H567" s="128"/>
    </row>
    <row r="568" ht="22.5" customHeight="1">
      <c r="A568" s="125"/>
      <c r="B568" s="125"/>
      <c r="C568" s="125"/>
      <c r="D568" s="126"/>
      <c r="E568" s="126"/>
      <c r="F568" s="127"/>
      <c r="G568" s="127"/>
      <c r="H568" s="128"/>
    </row>
    <row r="569" ht="22.5" customHeight="1">
      <c r="A569" s="125"/>
      <c r="B569" s="125"/>
      <c r="C569" s="125"/>
      <c r="D569" s="126"/>
      <c r="E569" s="126"/>
      <c r="F569" s="127"/>
      <c r="G569" s="127"/>
      <c r="H569" s="128"/>
    </row>
    <row r="570" ht="22.5" customHeight="1">
      <c r="A570" s="125"/>
      <c r="B570" s="125"/>
      <c r="C570" s="125"/>
      <c r="D570" s="126"/>
      <c r="E570" s="126"/>
      <c r="F570" s="127"/>
      <c r="G570" s="127"/>
      <c r="H570" s="128"/>
    </row>
    <row r="571" ht="22.5" customHeight="1">
      <c r="A571" s="125"/>
      <c r="B571" s="125"/>
      <c r="C571" s="125"/>
      <c r="D571" s="126"/>
      <c r="E571" s="126"/>
      <c r="F571" s="127"/>
      <c r="G571" s="127"/>
      <c r="H571" s="128"/>
    </row>
    <row r="572" ht="22.5" customHeight="1">
      <c r="A572" s="125"/>
      <c r="B572" s="125"/>
      <c r="C572" s="125"/>
      <c r="D572" s="126"/>
      <c r="E572" s="126"/>
      <c r="F572" s="127"/>
      <c r="G572" s="127"/>
      <c r="H572" s="128"/>
    </row>
    <row r="573" ht="22.5" customHeight="1">
      <c r="A573" s="125"/>
      <c r="B573" s="125"/>
      <c r="C573" s="125"/>
      <c r="D573" s="126"/>
      <c r="E573" s="126"/>
      <c r="F573" s="127"/>
      <c r="G573" s="127"/>
      <c r="H573" s="128"/>
    </row>
    <row r="574" ht="22.5" customHeight="1">
      <c r="A574" s="125"/>
      <c r="B574" s="125"/>
      <c r="C574" s="125"/>
      <c r="D574" s="126"/>
      <c r="E574" s="126"/>
      <c r="F574" s="127"/>
      <c r="G574" s="127"/>
      <c r="H574" s="128"/>
    </row>
    <row r="575" ht="22.5" customHeight="1">
      <c r="A575" s="125"/>
      <c r="B575" s="125"/>
      <c r="C575" s="125"/>
      <c r="D575" s="126"/>
      <c r="E575" s="126"/>
      <c r="F575" s="127"/>
      <c r="G575" s="127"/>
      <c r="H575" s="128"/>
    </row>
    <row r="576" ht="22.5" customHeight="1">
      <c r="A576" s="125"/>
      <c r="B576" s="125"/>
      <c r="C576" s="125"/>
      <c r="D576" s="126"/>
      <c r="E576" s="126"/>
      <c r="F576" s="127"/>
      <c r="G576" s="127"/>
      <c r="H576" s="128"/>
    </row>
    <row r="577" ht="22.5" customHeight="1">
      <c r="A577" s="125"/>
      <c r="B577" s="125"/>
      <c r="C577" s="125"/>
      <c r="D577" s="126"/>
      <c r="E577" s="126"/>
      <c r="F577" s="127"/>
      <c r="G577" s="127"/>
      <c r="H577" s="128"/>
    </row>
    <row r="578" ht="22.5" customHeight="1">
      <c r="A578" s="125"/>
      <c r="B578" s="125"/>
      <c r="C578" s="125"/>
      <c r="D578" s="126"/>
      <c r="E578" s="126"/>
      <c r="F578" s="127"/>
      <c r="G578" s="127"/>
      <c r="H578" s="128"/>
    </row>
    <row r="579" ht="22.5" customHeight="1">
      <c r="A579" s="125"/>
      <c r="B579" s="125"/>
      <c r="C579" s="125"/>
      <c r="D579" s="126"/>
      <c r="E579" s="126"/>
      <c r="F579" s="127"/>
      <c r="G579" s="127"/>
      <c r="H579" s="128"/>
    </row>
    <row r="580" ht="22.5" customHeight="1">
      <c r="A580" s="125"/>
      <c r="B580" s="125"/>
      <c r="C580" s="125"/>
      <c r="D580" s="126"/>
      <c r="E580" s="126"/>
      <c r="F580" s="127"/>
      <c r="G580" s="127"/>
      <c r="H580" s="128"/>
    </row>
    <row r="581" ht="22.5" customHeight="1">
      <c r="A581" s="125"/>
      <c r="B581" s="125"/>
      <c r="C581" s="125"/>
      <c r="D581" s="126"/>
      <c r="E581" s="126"/>
      <c r="F581" s="127"/>
      <c r="G581" s="127"/>
      <c r="H581" s="128"/>
    </row>
    <row r="582" ht="22.5" customHeight="1">
      <c r="A582" s="125"/>
      <c r="B582" s="125"/>
      <c r="C582" s="125"/>
      <c r="D582" s="126"/>
      <c r="E582" s="126"/>
      <c r="F582" s="127"/>
      <c r="G582" s="127"/>
      <c r="H582" s="128"/>
    </row>
    <row r="583" ht="22.5" customHeight="1">
      <c r="A583" s="125"/>
      <c r="B583" s="125"/>
      <c r="C583" s="125"/>
      <c r="D583" s="126"/>
      <c r="E583" s="126"/>
      <c r="F583" s="127"/>
      <c r="G583" s="127"/>
      <c r="H583" s="128"/>
    </row>
    <row r="584" ht="22.5" customHeight="1">
      <c r="A584" s="125"/>
      <c r="B584" s="125"/>
      <c r="C584" s="125"/>
      <c r="D584" s="126"/>
      <c r="E584" s="126"/>
      <c r="F584" s="127"/>
      <c r="G584" s="127"/>
      <c r="H584" s="128"/>
    </row>
    <row r="585" ht="22.5" customHeight="1">
      <c r="A585" s="125"/>
      <c r="B585" s="125"/>
      <c r="C585" s="125"/>
      <c r="D585" s="126"/>
      <c r="E585" s="126"/>
      <c r="F585" s="127"/>
      <c r="G585" s="127"/>
      <c r="H585" s="128"/>
    </row>
    <row r="586" ht="22.5" customHeight="1">
      <c r="A586" s="125"/>
      <c r="B586" s="125"/>
      <c r="C586" s="125"/>
      <c r="D586" s="126"/>
      <c r="E586" s="126"/>
      <c r="F586" s="127"/>
      <c r="G586" s="127"/>
      <c r="H586" s="128"/>
    </row>
    <row r="587" ht="22.5" customHeight="1">
      <c r="A587" s="125"/>
      <c r="B587" s="125"/>
      <c r="C587" s="125"/>
      <c r="D587" s="126"/>
      <c r="E587" s="126"/>
      <c r="F587" s="127"/>
      <c r="G587" s="127"/>
      <c r="H587" s="128"/>
    </row>
    <row r="588" ht="22.5" customHeight="1">
      <c r="A588" s="125"/>
      <c r="B588" s="125"/>
      <c r="C588" s="125"/>
      <c r="D588" s="126"/>
      <c r="E588" s="126"/>
      <c r="F588" s="127"/>
      <c r="G588" s="127"/>
      <c r="H588" s="128"/>
    </row>
    <row r="589" ht="22.5" customHeight="1">
      <c r="A589" s="125"/>
      <c r="B589" s="125"/>
      <c r="C589" s="125"/>
      <c r="D589" s="126"/>
      <c r="E589" s="126"/>
      <c r="F589" s="127"/>
      <c r="G589" s="127"/>
      <c r="H589" s="128"/>
    </row>
    <row r="590" ht="22.5" customHeight="1">
      <c r="A590" s="125"/>
      <c r="B590" s="125"/>
      <c r="C590" s="125"/>
      <c r="D590" s="126"/>
      <c r="E590" s="126"/>
      <c r="F590" s="127"/>
      <c r="G590" s="127"/>
      <c r="H590" s="128"/>
    </row>
    <row r="591" ht="22.5" customHeight="1">
      <c r="A591" s="125"/>
      <c r="B591" s="125"/>
      <c r="C591" s="125"/>
      <c r="D591" s="126"/>
      <c r="E591" s="126"/>
      <c r="F591" s="127"/>
      <c r="G591" s="127"/>
      <c r="H591" s="128"/>
    </row>
    <row r="592" ht="22.5" customHeight="1">
      <c r="A592" s="125"/>
      <c r="B592" s="125"/>
      <c r="C592" s="125"/>
      <c r="D592" s="126"/>
      <c r="E592" s="126"/>
      <c r="F592" s="127"/>
      <c r="G592" s="127"/>
      <c r="H592" s="128"/>
    </row>
    <row r="593" ht="22.5" customHeight="1">
      <c r="A593" s="125"/>
      <c r="B593" s="125"/>
      <c r="C593" s="125"/>
      <c r="D593" s="126"/>
      <c r="E593" s="126"/>
      <c r="F593" s="127"/>
      <c r="G593" s="127"/>
      <c r="H593" s="128"/>
    </row>
    <row r="594" ht="22.5" customHeight="1">
      <c r="A594" s="125"/>
      <c r="B594" s="125"/>
      <c r="C594" s="125"/>
      <c r="D594" s="126"/>
      <c r="E594" s="126"/>
      <c r="F594" s="127"/>
      <c r="G594" s="127"/>
      <c r="H594" s="128"/>
    </row>
    <row r="595" ht="22.5" customHeight="1">
      <c r="A595" s="125"/>
      <c r="B595" s="125"/>
      <c r="C595" s="125"/>
      <c r="D595" s="126"/>
      <c r="E595" s="126"/>
      <c r="F595" s="127"/>
      <c r="G595" s="127"/>
      <c r="H595" s="128"/>
    </row>
    <row r="596" ht="22.5" customHeight="1">
      <c r="A596" s="125"/>
      <c r="B596" s="125"/>
      <c r="C596" s="125"/>
      <c r="D596" s="126"/>
      <c r="E596" s="126"/>
      <c r="F596" s="127"/>
      <c r="G596" s="127"/>
      <c r="H596" s="128"/>
    </row>
    <row r="597" ht="22.5" customHeight="1">
      <c r="A597" s="125"/>
      <c r="B597" s="125"/>
      <c r="C597" s="125"/>
      <c r="D597" s="126"/>
      <c r="E597" s="126"/>
      <c r="F597" s="127"/>
      <c r="G597" s="127"/>
      <c r="H597" s="128"/>
    </row>
    <row r="598" ht="22.5" customHeight="1">
      <c r="A598" s="125"/>
      <c r="B598" s="125"/>
      <c r="C598" s="125"/>
      <c r="D598" s="126"/>
      <c r="E598" s="126"/>
      <c r="F598" s="127"/>
      <c r="G598" s="127"/>
      <c r="H598" s="128"/>
    </row>
    <row r="599" ht="22.5" customHeight="1">
      <c r="A599" s="125"/>
      <c r="B599" s="125"/>
      <c r="C599" s="125"/>
      <c r="D599" s="126"/>
      <c r="E599" s="126"/>
      <c r="F599" s="127"/>
      <c r="G599" s="127"/>
      <c r="H599" s="128"/>
    </row>
    <row r="600" ht="22.5" customHeight="1">
      <c r="A600" s="125"/>
      <c r="B600" s="125"/>
      <c r="C600" s="125"/>
      <c r="D600" s="126"/>
      <c r="E600" s="126"/>
      <c r="F600" s="127"/>
      <c r="G600" s="127"/>
      <c r="H600" s="128"/>
    </row>
    <row r="601" ht="22.5" customHeight="1">
      <c r="A601" s="125"/>
      <c r="B601" s="125"/>
      <c r="C601" s="125"/>
      <c r="D601" s="126"/>
      <c r="E601" s="126"/>
      <c r="F601" s="127"/>
      <c r="G601" s="127"/>
      <c r="H601" s="128"/>
    </row>
    <row r="602" ht="22.5" customHeight="1">
      <c r="A602" s="125"/>
      <c r="B602" s="125"/>
      <c r="C602" s="125"/>
      <c r="D602" s="126"/>
      <c r="E602" s="126"/>
      <c r="F602" s="127"/>
      <c r="G602" s="127"/>
      <c r="H602" s="128"/>
    </row>
    <row r="603" ht="22.5" customHeight="1">
      <c r="A603" s="125"/>
      <c r="B603" s="125"/>
      <c r="C603" s="125"/>
      <c r="D603" s="126"/>
      <c r="E603" s="126"/>
      <c r="F603" s="127"/>
      <c r="G603" s="127"/>
      <c r="H603" s="128"/>
    </row>
    <row r="604" ht="22.5" customHeight="1">
      <c r="A604" s="125"/>
      <c r="B604" s="125"/>
      <c r="C604" s="125"/>
      <c r="D604" s="126"/>
      <c r="E604" s="126"/>
      <c r="F604" s="127"/>
      <c r="G604" s="127"/>
      <c r="H604" s="128"/>
    </row>
    <row r="605" ht="22.5" customHeight="1">
      <c r="A605" s="125"/>
      <c r="B605" s="125"/>
      <c r="C605" s="125"/>
      <c r="D605" s="126"/>
      <c r="E605" s="126"/>
      <c r="F605" s="127"/>
      <c r="G605" s="127"/>
      <c r="H605" s="128"/>
    </row>
    <row r="606" ht="22.5" customHeight="1">
      <c r="A606" s="125"/>
      <c r="B606" s="125"/>
      <c r="C606" s="125"/>
      <c r="D606" s="126"/>
      <c r="E606" s="126"/>
      <c r="F606" s="127"/>
      <c r="G606" s="127"/>
      <c r="H606" s="128"/>
    </row>
    <row r="607" ht="22.5" customHeight="1">
      <c r="A607" s="125"/>
      <c r="B607" s="125"/>
      <c r="C607" s="125"/>
      <c r="D607" s="126"/>
      <c r="E607" s="126"/>
      <c r="F607" s="127"/>
      <c r="G607" s="127"/>
      <c r="H607" s="128"/>
    </row>
    <row r="608" ht="22.5" customHeight="1">
      <c r="A608" s="125"/>
      <c r="B608" s="125"/>
      <c r="C608" s="125"/>
      <c r="D608" s="126"/>
      <c r="E608" s="126"/>
      <c r="F608" s="127"/>
      <c r="G608" s="127"/>
      <c r="H608" s="128"/>
    </row>
    <row r="609" ht="22.5" customHeight="1">
      <c r="A609" s="125"/>
      <c r="B609" s="125"/>
      <c r="C609" s="125"/>
      <c r="D609" s="126"/>
      <c r="E609" s="126"/>
      <c r="F609" s="127"/>
      <c r="G609" s="127"/>
      <c r="H609" s="128"/>
    </row>
    <row r="610" ht="22.5" customHeight="1">
      <c r="A610" s="125"/>
      <c r="B610" s="125"/>
      <c r="C610" s="125"/>
      <c r="D610" s="126"/>
      <c r="E610" s="126"/>
      <c r="F610" s="127"/>
      <c r="G610" s="127"/>
      <c r="H610" s="128"/>
    </row>
    <row r="611" ht="22.5" customHeight="1">
      <c r="A611" s="125"/>
      <c r="B611" s="125"/>
      <c r="C611" s="125"/>
      <c r="D611" s="126"/>
      <c r="E611" s="126"/>
      <c r="F611" s="127"/>
      <c r="G611" s="127"/>
      <c r="H611" s="128"/>
    </row>
    <row r="612" ht="22.5" customHeight="1">
      <c r="A612" s="125"/>
      <c r="B612" s="125"/>
      <c r="C612" s="125"/>
      <c r="D612" s="126"/>
      <c r="E612" s="126"/>
      <c r="F612" s="127"/>
      <c r="G612" s="127"/>
      <c r="H612" s="128"/>
    </row>
    <row r="613" ht="22.5" customHeight="1">
      <c r="A613" s="125"/>
      <c r="B613" s="125"/>
      <c r="C613" s="125"/>
      <c r="D613" s="126"/>
      <c r="E613" s="126"/>
      <c r="F613" s="127"/>
      <c r="G613" s="127"/>
      <c r="H613" s="128"/>
    </row>
    <row r="614" ht="22.5" customHeight="1">
      <c r="A614" s="125"/>
      <c r="B614" s="125"/>
      <c r="C614" s="125"/>
      <c r="D614" s="126"/>
      <c r="E614" s="126"/>
      <c r="F614" s="127"/>
      <c r="G614" s="127"/>
      <c r="H614" s="128"/>
    </row>
    <row r="615" ht="22.5" customHeight="1">
      <c r="A615" s="125"/>
      <c r="B615" s="125"/>
      <c r="C615" s="125"/>
      <c r="D615" s="126"/>
      <c r="E615" s="126"/>
      <c r="F615" s="127"/>
      <c r="G615" s="127"/>
      <c r="H615" s="128"/>
    </row>
    <row r="616" ht="22.5" customHeight="1">
      <c r="A616" s="125"/>
      <c r="B616" s="125"/>
      <c r="C616" s="125"/>
      <c r="D616" s="126"/>
      <c r="E616" s="126"/>
      <c r="F616" s="127"/>
      <c r="G616" s="127"/>
      <c r="H616" s="128"/>
    </row>
    <row r="617" ht="22.5" customHeight="1">
      <c r="A617" s="125"/>
      <c r="B617" s="125"/>
      <c r="C617" s="125"/>
      <c r="D617" s="126"/>
      <c r="E617" s="126"/>
      <c r="F617" s="127"/>
      <c r="G617" s="127"/>
      <c r="H617" s="128"/>
    </row>
    <row r="618" ht="22.5" customHeight="1">
      <c r="A618" s="125"/>
      <c r="B618" s="125"/>
      <c r="C618" s="125"/>
      <c r="D618" s="126"/>
      <c r="E618" s="126"/>
      <c r="F618" s="127"/>
      <c r="G618" s="127"/>
      <c r="H618" s="128"/>
    </row>
    <row r="619" ht="22.5" customHeight="1">
      <c r="A619" s="125"/>
      <c r="B619" s="125"/>
      <c r="C619" s="125"/>
      <c r="D619" s="126"/>
      <c r="E619" s="126"/>
      <c r="F619" s="127"/>
      <c r="G619" s="127"/>
      <c r="H619" s="128"/>
    </row>
    <row r="620" ht="22.5" customHeight="1">
      <c r="A620" s="125"/>
      <c r="B620" s="125"/>
      <c r="C620" s="125"/>
      <c r="D620" s="126"/>
      <c r="E620" s="126"/>
      <c r="F620" s="127"/>
      <c r="G620" s="127"/>
      <c r="H620" s="128"/>
    </row>
    <row r="621" ht="22.5" customHeight="1">
      <c r="A621" s="125"/>
      <c r="B621" s="125"/>
      <c r="C621" s="125"/>
      <c r="D621" s="126"/>
      <c r="E621" s="126"/>
      <c r="F621" s="127"/>
      <c r="G621" s="127"/>
      <c r="H621" s="128"/>
    </row>
    <row r="622" ht="22.5" customHeight="1">
      <c r="A622" s="125"/>
      <c r="B622" s="125"/>
      <c r="C622" s="125"/>
      <c r="D622" s="126"/>
      <c r="E622" s="126"/>
      <c r="F622" s="127"/>
      <c r="G622" s="127"/>
      <c r="H622" s="128"/>
    </row>
    <row r="623" ht="22.5" customHeight="1">
      <c r="A623" s="125"/>
      <c r="B623" s="125"/>
      <c r="C623" s="125"/>
      <c r="D623" s="126"/>
      <c r="E623" s="126"/>
      <c r="F623" s="127"/>
      <c r="G623" s="127"/>
      <c r="H623" s="128"/>
    </row>
    <row r="624" ht="22.5" customHeight="1">
      <c r="A624" s="125"/>
      <c r="B624" s="125"/>
      <c r="C624" s="125"/>
      <c r="D624" s="126"/>
      <c r="E624" s="126"/>
      <c r="F624" s="127"/>
      <c r="G624" s="127"/>
      <c r="H624" s="128"/>
    </row>
    <row r="625" ht="22.5" customHeight="1">
      <c r="A625" s="125"/>
      <c r="B625" s="125"/>
      <c r="C625" s="125"/>
      <c r="D625" s="126"/>
      <c r="E625" s="126"/>
      <c r="F625" s="127"/>
      <c r="G625" s="127"/>
      <c r="H625" s="128"/>
    </row>
    <row r="626" ht="22.5" customHeight="1">
      <c r="A626" s="125"/>
      <c r="B626" s="125"/>
      <c r="C626" s="125"/>
      <c r="D626" s="126"/>
      <c r="E626" s="126"/>
      <c r="F626" s="127"/>
      <c r="G626" s="127"/>
      <c r="H626" s="128"/>
    </row>
    <row r="627" ht="22.5" customHeight="1">
      <c r="A627" s="125"/>
      <c r="B627" s="125"/>
      <c r="C627" s="125"/>
      <c r="D627" s="126"/>
      <c r="E627" s="126"/>
      <c r="F627" s="127"/>
      <c r="G627" s="127"/>
      <c r="H627" s="128"/>
    </row>
    <row r="628" ht="22.5" customHeight="1">
      <c r="A628" s="125"/>
      <c r="B628" s="125"/>
      <c r="C628" s="125"/>
      <c r="D628" s="126"/>
      <c r="E628" s="126"/>
      <c r="F628" s="127"/>
      <c r="G628" s="127"/>
      <c r="H628" s="128"/>
    </row>
    <row r="629" ht="22.5" customHeight="1">
      <c r="A629" s="125"/>
      <c r="B629" s="125"/>
      <c r="C629" s="125"/>
      <c r="D629" s="126"/>
      <c r="E629" s="126"/>
      <c r="F629" s="127"/>
      <c r="G629" s="127"/>
      <c r="H629" s="128"/>
    </row>
    <row r="630" ht="22.5" customHeight="1">
      <c r="A630" s="125"/>
      <c r="B630" s="125"/>
      <c r="C630" s="125"/>
      <c r="D630" s="126"/>
      <c r="E630" s="126"/>
      <c r="F630" s="127"/>
      <c r="G630" s="127"/>
      <c r="H630" s="128"/>
    </row>
    <row r="631" ht="22.5" customHeight="1">
      <c r="A631" s="125"/>
      <c r="B631" s="125"/>
      <c r="C631" s="125"/>
      <c r="D631" s="126"/>
      <c r="E631" s="126"/>
      <c r="F631" s="127"/>
      <c r="G631" s="127"/>
      <c r="H631" s="128"/>
    </row>
    <row r="632" ht="22.5" customHeight="1">
      <c r="A632" s="125"/>
      <c r="B632" s="125"/>
      <c r="C632" s="125"/>
      <c r="D632" s="126"/>
      <c r="E632" s="126"/>
      <c r="F632" s="127"/>
      <c r="G632" s="127"/>
      <c r="H632" s="128"/>
    </row>
    <row r="633" ht="22.5" customHeight="1">
      <c r="A633" s="125"/>
      <c r="B633" s="125"/>
      <c r="C633" s="125"/>
      <c r="D633" s="126"/>
      <c r="E633" s="126"/>
      <c r="F633" s="127"/>
      <c r="G633" s="127"/>
      <c r="H633" s="128"/>
    </row>
    <row r="634" ht="22.5" customHeight="1">
      <c r="A634" s="125"/>
      <c r="B634" s="125"/>
      <c r="C634" s="125"/>
      <c r="D634" s="126"/>
      <c r="E634" s="126"/>
      <c r="F634" s="127"/>
      <c r="G634" s="127"/>
      <c r="H634" s="128"/>
    </row>
    <row r="635" ht="22.5" customHeight="1">
      <c r="A635" s="125"/>
      <c r="B635" s="125"/>
      <c r="C635" s="125"/>
      <c r="D635" s="126"/>
      <c r="E635" s="126"/>
      <c r="F635" s="127"/>
      <c r="G635" s="127"/>
      <c r="H635" s="128"/>
    </row>
    <row r="636" ht="22.5" customHeight="1">
      <c r="A636" s="125"/>
      <c r="B636" s="125"/>
      <c r="C636" s="125"/>
      <c r="D636" s="126"/>
      <c r="E636" s="126"/>
      <c r="F636" s="127"/>
      <c r="G636" s="127"/>
      <c r="H636" s="128"/>
    </row>
    <row r="637" ht="22.5" customHeight="1">
      <c r="A637" s="125"/>
      <c r="B637" s="125"/>
      <c r="C637" s="125"/>
      <c r="D637" s="126"/>
      <c r="E637" s="126"/>
      <c r="F637" s="127"/>
      <c r="G637" s="127"/>
      <c r="H637" s="128"/>
    </row>
    <row r="638" ht="22.5" customHeight="1">
      <c r="A638" s="125"/>
      <c r="B638" s="125"/>
      <c r="C638" s="125"/>
      <c r="D638" s="126"/>
      <c r="E638" s="126"/>
      <c r="F638" s="127"/>
      <c r="G638" s="127"/>
      <c r="H638" s="128"/>
    </row>
    <row r="639" ht="22.5" customHeight="1">
      <c r="A639" s="125"/>
      <c r="B639" s="125"/>
      <c r="C639" s="125"/>
      <c r="D639" s="126"/>
      <c r="E639" s="126"/>
      <c r="F639" s="127"/>
      <c r="G639" s="127"/>
      <c r="H639" s="128"/>
    </row>
    <row r="640" ht="22.5" customHeight="1">
      <c r="A640" s="125"/>
      <c r="B640" s="125"/>
      <c r="C640" s="125"/>
      <c r="D640" s="126"/>
      <c r="E640" s="126"/>
      <c r="F640" s="127"/>
      <c r="G640" s="127"/>
      <c r="H640" s="128"/>
    </row>
    <row r="641" ht="22.5" customHeight="1">
      <c r="A641" s="125"/>
      <c r="B641" s="125"/>
      <c r="C641" s="125"/>
      <c r="D641" s="126"/>
      <c r="E641" s="126"/>
      <c r="F641" s="127"/>
      <c r="G641" s="127"/>
      <c r="H641" s="128"/>
    </row>
    <row r="642" ht="22.5" customHeight="1">
      <c r="A642" s="125"/>
      <c r="B642" s="125"/>
      <c r="C642" s="125"/>
      <c r="D642" s="126"/>
      <c r="E642" s="126"/>
      <c r="F642" s="127"/>
      <c r="G642" s="127"/>
      <c r="H642" s="128"/>
    </row>
    <row r="643" ht="22.5" customHeight="1">
      <c r="A643" s="125"/>
      <c r="B643" s="125"/>
      <c r="C643" s="125"/>
      <c r="D643" s="126"/>
      <c r="E643" s="126"/>
      <c r="F643" s="127"/>
      <c r="G643" s="127"/>
      <c r="H643" s="128"/>
    </row>
    <row r="644" ht="22.5" customHeight="1">
      <c r="A644" s="125"/>
      <c r="B644" s="125"/>
      <c r="C644" s="125"/>
      <c r="D644" s="126"/>
      <c r="E644" s="126"/>
      <c r="F644" s="127"/>
      <c r="G644" s="127"/>
      <c r="H644" s="128"/>
    </row>
    <row r="645" ht="22.5" customHeight="1">
      <c r="A645" s="125"/>
      <c r="B645" s="125"/>
      <c r="C645" s="125"/>
      <c r="D645" s="126"/>
      <c r="E645" s="126"/>
      <c r="F645" s="127"/>
      <c r="G645" s="127"/>
      <c r="H645" s="128"/>
    </row>
    <row r="646" ht="22.5" customHeight="1">
      <c r="A646" s="125"/>
      <c r="B646" s="125"/>
      <c r="C646" s="125"/>
      <c r="D646" s="126"/>
      <c r="E646" s="126"/>
      <c r="F646" s="127"/>
      <c r="G646" s="127"/>
      <c r="H646" s="128"/>
    </row>
    <row r="647" ht="22.5" customHeight="1">
      <c r="A647" s="125"/>
      <c r="B647" s="125"/>
      <c r="C647" s="125"/>
      <c r="D647" s="126"/>
      <c r="E647" s="126"/>
      <c r="F647" s="127"/>
      <c r="G647" s="127"/>
      <c r="H647" s="128"/>
    </row>
    <row r="648" ht="22.5" customHeight="1">
      <c r="A648" s="125"/>
      <c r="B648" s="125"/>
      <c r="C648" s="125"/>
      <c r="D648" s="126"/>
      <c r="E648" s="126"/>
      <c r="F648" s="127"/>
      <c r="G648" s="127"/>
      <c r="H648" s="128"/>
    </row>
    <row r="649" ht="22.5" customHeight="1">
      <c r="A649" s="125"/>
      <c r="B649" s="125"/>
      <c r="C649" s="125"/>
      <c r="D649" s="126"/>
      <c r="E649" s="126"/>
      <c r="F649" s="127"/>
      <c r="G649" s="127"/>
      <c r="H649" s="128"/>
    </row>
    <row r="650" ht="22.5" customHeight="1">
      <c r="A650" s="125"/>
      <c r="B650" s="125"/>
      <c r="C650" s="125"/>
      <c r="D650" s="126"/>
      <c r="E650" s="126"/>
      <c r="F650" s="127"/>
      <c r="G650" s="127"/>
      <c r="H650" s="128"/>
    </row>
    <row r="651" ht="22.5" customHeight="1">
      <c r="A651" s="125"/>
      <c r="B651" s="125"/>
      <c r="C651" s="125"/>
      <c r="D651" s="126"/>
      <c r="E651" s="126"/>
      <c r="F651" s="127"/>
      <c r="G651" s="127"/>
      <c r="H651" s="128"/>
    </row>
    <row r="652" ht="22.5" customHeight="1">
      <c r="A652" s="125"/>
      <c r="B652" s="125"/>
      <c r="C652" s="125"/>
      <c r="D652" s="126"/>
      <c r="E652" s="126"/>
      <c r="F652" s="127"/>
      <c r="G652" s="127"/>
      <c r="H652" s="128"/>
    </row>
    <row r="653" ht="22.5" customHeight="1">
      <c r="A653" s="125"/>
      <c r="B653" s="125"/>
      <c r="C653" s="125"/>
      <c r="D653" s="126"/>
      <c r="E653" s="126"/>
      <c r="F653" s="127"/>
      <c r="G653" s="127"/>
      <c r="H653" s="128"/>
    </row>
    <row r="654" ht="22.5" customHeight="1">
      <c r="A654" s="125"/>
      <c r="B654" s="125"/>
      <c r="C654" s="125"/>
      <c r="D654" s="126"/>
      <c r="E654" s="126"/>
      <c r="F654" s="127"/>
      <c r="G654" s="127"/>
      <c r="H654" s="128"/>
    </row>
    <row r="655" ht="22.5" customHeight="1">
      <c r="A655" s="125"/>
      <c r="B655" s="125"/>
      <c r="C655" s="125"/>
      <c r="D655" s="126"/>
      <c r="E655" s="126"/>
      <c r="F655" s="127"/>
      <c r="G655" s="127"/>
      <c r="H655" s="128"/>
    </row>
    <row r="656" ht="22.5" customHeight="1">
      <c r="A656" s="125"/>
      <c r="B656" s="125"/>
      <c r="C656" s="125"/>
      <c r="D656" s="126"/>
      <c r="E656" s="126"/>
      <c r="F656" s="127"/>
      <c r="G656" s="127"/>
      <c r="H656" s="128"/>
    </row>
    <row r="657" ht="22.5" customHeight="1">
      <c r="A657" s="125"/>
      <c r="B657" s="125"/>
      <c r="C657" s="125"/>
      <c r="D657" s="126"/>
      <c r="E657" s="126"/>
      <c r="F657" s="127"/>
      <c r="G657" s="127"/>
      <c r="H657" s="128"/>
    </row>
    <row r="658" ht="22.5" customHeight="1">
      <c r="A658" s="125"/>
      <c r="B658" s="125"/>
      <c r="C658" s="125"/>
      <c r="D658" s="126"/>
      <c r="E658" s="126"/>
      <c r="F658" s="127"/>
      <c r="G658" s="127"/>
      <c r="H658" s="128"/>
    </row>
    <row r="659" ht="22.5" customHeight="1">
      <c r="A659" s="125"/>
      <c r="B659" s="125"/>
      <c r="C659" s="125"/>
      <c r="D659" s="126"/>
      <c r="E659" s="126"/>
      <c r="F659" s="127"/>
      <c r="G659" s="127"/>
      <c r="H659" s="128"/>
    </row>
    <row r="660" ht="22.5" customHeight="1">
      <c r="A660" s="125"/>
      <c r="B660" s="125"/>
      <c r="C660" s="125"/>
      <c r="D660" s="126"/>
      <c r="E660" s="126"/>
      <c r="F660" s="127"/>
      <c r="G660" s="127"/>
      <c r="H660" s="128"/>
    </row>
    <row r="661" ht="22.5" customHeight="1">
      <c r="A661" s="125"/>
      <c r="B661" s="125"/>
      <c r="C661" s="125"/>
      <c r="D661" s="126"/>
      <c r="E661" s="126"/>
      <c r="F661" s="127"/>
      <c r="G661" s="127"/>
      <c r="H661" s="128"/>
    </row>
    <row r="662" ht="22.5" customHeight="1">
      <c r="A662" s="125"/>
      <c r="B662" s="125"/>
      <c r="C662" s="125"/>
      <c r="D662" s="126"/>
      <c r="E662" s="126"/>
      <c r="F662" s="127"/>
      <c r="G662" s="127"/>
      <c r="H662" s="128"/>
    </row>
    <row r="663" ht="22.5" customHeight="1">
      <c r="A663" s="125"/>
      <c r="B663" s="125"/>
      <c r="C663" s="125"/>
      <c r="D663" s="126"/>
      <c r="E663" s="126"/>
      <c r="F663" s="127"/>
      <c r="G663" s="127"/>
      <c r="H663" s="128"/>
    </row>
    <row r="664" ht="22.5" customHeight="1">
      <c r="A664" s="125"/>
      <c r="B664" s="125"/>
      <c r="C664" s="125"/>
      <c r="D664" s="126"/>
      <c r="E664" s="126"/>
      <c r="F664" s="127"/>
      <c r="G664" s="127"/>
      <c r="H664" s="128"/>
    </row>
    <row r="665" ht="22.5" customHeight="1">
      <c r="A665" s="125"/>
      <c r="B665" s="125"/>
      <c r="C665" s="125"/>
      <c r="D665" s="126"/>
      <c r="E665" s="126"/>
      <c r="F665" s="127"/>
      <c r="G665" s="127"/>
      <c r="H665" s="128"/>
    </row>
    <row r="666" ht="22.5" customHeight="1">
      <c r="A666" s="125"/>
      <c r="B666" s="125"/>
      <c r="C666" s="125"/>
      <c r="D666" s="126"/>
      <c r="E666" s="126"/>
      <c r="F666" s="127"/>
      <c r="G666" s="127"/>
      <c r="H666" s="128"/>
    </row>
    <row r="667" ht="22.5" customHeight="1">
      <c r="A667" s="125"/>
      <c r="B667" s="125"/>
      <c r="C667" s="125"/>
      <c r="D667" s="126"/>
      <c r="E667" s="126"/>
      <c r="F667" s="127"/>
      <c r="G667" s="127"/>
      <c r="H667" s="128"/>
    </row>
    <row r="668" ht="22.5" customHeight="1">
      <c r="A668" s="125"/>
      <c r="B668" s="125"/>
      <c r="C668" s="125"/>
      <c r="D668" s="126"/>
      <c r="E668" s="126"/>
      <c r="F668" s="127"/>
      <c r="G668" s="127"/>
      <c r="H668" s="128"/>
    </row>
    <row r="669" ht="22.5" customHeight="1">
      <c r="A669" s="125"/>
      <c r="B669" s="125"/>
      <c r="C669" s="125"/>
      <c r="D669" s="126"/>
      <c r="E669" s="126"/>
      <c r="F669" s="127"/>
      <c r="G669" s="127"/>
      <c r="H669" s="128"/>
    </row>
    <row r="670" ht="22.5" customHeight="1">
      <c r="A670" s="125"/>
      <c r="B670" s="125"/>
      <c r="C670" s="125"/>
      <c r="D670" s="126"/>
      <c r="E670" s="126"/>
      <c r="F670" s="127"/>
      <c r="G670" s="127"/>
      <c r="H670" s="128"/>
    </row>
    <row r="671" ht="22.5" customHeight="1">
      <c r="A671" s="125"/>
      <c r="B671" s="125"/>
      <c r="C671" s="125"/>
      <c r="D671" s="126"/>
      <c r="E671" s="126"/>
      <c r="F671" s="127"/>
      <c r="G671" s="127"/>
      <c r="H671" s="128"/>
    </row>
    <row r="672" ht="22.5" customHeight="1">
      <c r="A672" s="125"/>
      <c r="B672" s="125"/>
      <c r="C672" s="125"/>
      <c r="D672" s="126"/>
      <c r="E672" s="126"/>
      <c r="F672" s="127"/>
      <c r="G672" s="127"/>
      <c r="H672" s="128"/>
    </row>
    <row r="673" ht="22.5" customHeight="1">
      <c r="A673" s="125"/>
      <c r="B673" s="125"/>
      <c r="C673" s="125"/>
      <c r="D673" s="126"/>
      <c r="E673" s="126"/>
      <c r="F673" s="127"/>
      <c r="G673" s="127"/>
      <c r="H673" s="128"/>
    </row>
    <row r="674" ht="22.5" customHeight="1">
      <c r="A674" s="125"/>
      <c r="B674" s="125"/>
      <c r="C674" s="125"/>
      <c r="D674" s="126"/>
      <c r="E674" s="126"/>
      <c r="F674" s="127"/>
      <c r="G674" s="127"/>
      <c r="H674" s="128"/>
    </row>
    <row r="675" ht="22.5" customHeight="1">
      <c r="A675" s="125"/>
      <c r="B675" s="125"/>
      <c r="C675" s="125"/>
      <c r="D675" s="126"/>
      <c r="E675" s="126"/>
      <c r="F675" s="127"/>
      <c r="G675" s="127"/>
      <c r="H675" s="128"/>
    </row>
    <row r="676" ht="22.5" customHeight="1">
      <c r="A676" s="125"/>
      <c r="B676" s="125"/>
      <c r="C676" s="125"/>
      <c r="D676" s="126"/>
      <c r="E676" s="126"/>
      <c r="F676" s="127"/>
      <c r="G676" s="127"/>
      <c r="H676" s="128"/>
    </row>
    <row r="677" ht="22.5" customHeight="1">
      <c r="A677" s="125"/>
      <c r="B677" s="125"/>
      <c r="C677" s="125"/>
      <c r="D677" s="126"/>
      <c r="E677" s="126"/>
      <c r="F677" s="127"/>
      <c r="G677" s="127"/>
      <c r="H677" s="128"/>
    </row>
    <row r="678" ht="22.5" customHeight="1">
      <c r="A678" s="125"/>
      <c r="B678" s="125"/>
      <c r="C678" s="125"/>
      <c r="D678" s="126"/>
      <c r="E678" s="126"/>
      <c r="F678" s="127"/>
      <c r="G678" s="127"/>
      <c r="H678" s="128"/>
    </row>
    <row r="679" ht="22.5" customHeight="1">
      <c r="A679" s="125"/>
      <c r="B679" s="125"/>
      <c r="C679" s="125"/>
      <c r="D679" s="126"/>
      <c r="E679" s="126"/>
      <c r="F679" s="127"/>
      <c r="G679" s="127"/>
      <c r="H679" s="128"/>
    </row>
    <row r="680" ht="22.5" customHeight="1">
      <c r="A680" s="125"/>
      <c r="B680" s="125"/>
      <c r="C680" s="125"/>
      <c r="D680" s="126"/>
      <c r="E680" s="126"/>
      <c r="F680" s="127"/>
      <c r="G680" s="127"/>
      <c r="H680" s="128"/>
    </row>
    <row r="681" ht="22.5" customHeight="1">
      <c r="A681" s="125"/>
      <c r="B681" s="125"/>
      <c r="C681" s="125"/>
      <c r="D681" s="126"/>
      <c r="E681" s="126"/>
      <c r="F681" s="127"/>
      <c r="G681" s="127"/>
      <c r="H681" s="128"/>
    </row>
    <row r="682" ht="22.5" customHeight="1">
      <c r="A682" s="125"/>
      <c r="B682" s="125"/>
      <c r="C682" s="125"/>
      <c r="D682" s="126"/>
      <c r="E682" s="126"/>
      <c r="F682" s="127"/>
      <c r="G682" s="127"/>
      <c r="H682" s="128"/>
    </row>
    <row r="683" ht="22.5" customHeight="1">
      <c r="A683" s="125"/>
      <c r="B683" s="125"/>
      <c r="C683" s="125"/>
      <c r="D683" s="126"/>
      <c r="E683" s="126"/>
      <c r="F683" s="127"/>
      <c r="G683" s="127"/>
      <c r="H683" s="128"/>
    </row>
    <row r="684" ht="22.5" customHeight="1">
      <c r="A684" s="125"/>
      <c r="B684" s="125"/>
      <c r="C684" s="125"/>
      <c r="D684" s="126"/>
      <c r="E684" s="126"/>
      <c r="F684" s="127"/>
      <c r="G684" s="127"/>
      <c r="H684" s="128"/>
    </row>
    <row r="685" ht="22.5" customHeight="1">
      <c r="A685" s="125"/>
      <c r="B685" s="125"/>
      <c r="C685" s="125"/>
      <c r="D685" s="126"/>
      <c r="E685" s="126"/>
      <c r="F685" s="127"/>
      <c r="G685" s="127"/>
      <c r="H685" s="128"/>
    </row>
    <row r="686" ht="22.5" customHeight="1">
      <c r="A686" s="125"/>
      <c r="B686" s="125"/>
      <c r="C686" s="125"/>
      <c r="D686" s="126"/>
      <c r="E686" s="126"/>
      <c r="F686" s="127"/>
      <c r="G686" s="127"/>
      <c r="H686" s="128"/>
    </row>
    <row r="687" ht="22.5" customHeight="1">
      <c r="A687" s="125"/>
      <c r="B687" s="125"/>
      <c r="C687" s="125"/>
      <c r="D687" s="126"/>
      <c r="E687" s="126"/>
      <c r="F687" s="127"/>
      <c r="G687" s="127"/>
      <c r="H687" s="128"/>
    </row>
    <row r="688" ht="22.5" customHeight="1">
      <c r="A688" s="125"/>
      <c r="B688" s="125"/>
      <c r="C688" s="125"/>
      <c r="D688" s="126"/>
      <c r="E688" s="126"/>
      <c r="F688" s="127"/>
      <c r="G688" s="127"/>
      <c r="H688" s="128"/>
    </row>
    <row r="689" ht="22.5" customHeight="1">
      <c r="A689" s="125"/>
      <c r="B689" s="125"/>
      <c r="C689" s="125"/>
      <c r="D689" s="126"/>
      <c r="E689" s="126"/>
      <c r="F689" s="127"/>
      <c r="G689" s="127"/>
      <c r="H689" s="128"/>
    </row>
    <row r="690" ht="22.5" customHeight="1">
      <c r="A690" s="125"/>
      <c r="B690" s="125"/>
      <c r="C690" s="125"/>
      <c r="D690" s="126"/>
      <c r="E690" s="126"/>
      <c r="F690" s="127"/>
      <c r="G690" s="127"/>
      <c r="H690" s="128"/>
    </row>
    <row r="691" ht="22.5" customHeight="1">
      <c r="A691" s="125"/>
      <c r="B691" s="125"/>
      <c r="C691" s="125"/>
      <c r="D691" s="126"/>
      <c r="E691" s="126"/>
      <c r="F691" s="127"/>
      <c r="G691" s="127"/>
      <c r="H691" s="128"/>
    </row>
    <row r="692" ht="22.5" customHeight="1">
      <c r="A692" s="125"/>
      <c r="B692" s="125"/>
      <c r="C692" s="125"/>
      <c r="D692" s="126"/>
      <c r="E692" s="126"/>
      <c r="F692" s="127"/>
      <c r="G692" s="127"/>
      <c r="H692" s="128"/>
    </row>
    <row r="693" ht="22.5" customHeight="1">
      <c r="A693" s="125"/>
      <c r="B693" s="125"/>
      <c r="C693" s="125"/>
      <c r="D693" s="126"/>
      <c r="E693" s="126"/>
      <c r="F693" s="127"/>
      <c r="G693" s="127"/>
      <c r="H693" s="128"/>
    </row>
    <row r="694" ht="22.5" customHeight="1">
      <c r="A694" s="125"/>
      <c r="B694" s="125"/>
      <c r="C694" s="125"/>
      <c r="D694" s="126"/>
      <c r="E694" s="126"/>
      <c r="F694" s="127"/>
      <c r="G694" s="127"/>
      <c r="H694" s="128"/>
    </row>
    <row r="695" ht="22.5" customHeight="1">
      <c r="A695" s="125"/>
      <c r="B695" s="125"/>
      <c r="C695" s="125"/>
      <c r="D695" s="126"/>
      <c r="E695" s="126"/>
      <c r="F695" s="127"/>
      <c r="G695" s="127"/>
      <c r="H695" s="128"/>
    </row>
    <row r="696" ht="22.5" customHeight="1">
      <c r="A696" s="125"/>
      <c r="B696" s="125"/>
      <c r="C696" s="125"/>
      <c r="D696" s="126"/>
      <c r="E696" s="126"/>
      <c r="F696" s="127"/>
      <c r="G696" s="127"/>
      <c r="H696" s="128"/>
    </row>
    <row r="697" ht="22.5" customHeight="1">
      <c r="A697" s="125"/>
      <c r="B697" s="125"/>
      <c r="C697" s="125"/>
      <c r="D697" s="126"/>
      <c r="E697" s="126"/>
      <c r="F697" s="127"/>
      <c r="G697" s="127"/>
      <c r="H697" s="128"/>
    </row>
    <row r="698" ht="22.5" customHeight="1">
      <c r="A698" s="125"/>
      <c r="B698" s="125"/>
      <c r="C698" s="125"/>
      <c r="D698" s="126"/>
      <c r="E698" s="126"/>
      <c r="F698" s="127"/>
      <c r="G698" s="127"/>
      <c r="H698" s="128"/>
    </row>
    <row r="699" ht="22.5" customHeight="1">
      <c r="A699" s="125"/>
      <c r="B699" s="125"/>
      <c r="C699" s="125"/>
      <c r="D699" s="126"/>
      <c r="E699" s="126"/>
      <c r="F699" s="127"/>
      <c r="G699" s="127"/>
      <c r="H699" s="128"/>
    </row>
    <row r="700" ht="22.5" customHeight="1">
      <c r="A700" s="125"/>
      <c r="B700" s="125"/>
      <c r="C700" s="125"/>
      <c r="D700" s="126"/>
      <c r="E700" s="126"/>
      <c r="F700" s="127"/>
      <c r="G700" s="127"/>
      <c r="H700" s="128"/>
    </row>
    <row r="701" ht="22.5" customHeight="1">
      <c r="A701" s="125"/>
      <c r="B701" s="125"/>
      <c r="C701" s="125"/>
      <c r="D701" s="126"/>
      <c r="E701" s="126"/>
      <c r="F701" s="127"/>
      <c r="G701" s="127"/>
      <c r="H701" s="128"/>
    </row>
    <row r="702" ht="22.5" customHeight="1">
      <c r="A702" s="125"/>
      <c r="B702" s="125"/>
      <c r="C702" s="125"/>
      <c r="D702" s="126"/>
      <c r="E702" s="126"/>
      <c r="F702" s="127"/>
      <c r="G702" s="127"/>
      <c r="H702" s="128"/>
    </row>
    <row r="703" ht="22.5" customHeight="1">
      <c r="A703" s="125"/>
      <c r="B703" s="125"/>
      <c r="C703" s="125"/>
      <c r="D703" s="126"/>
      <c r="E703" s="126"/>
      <c r="F703" s="127"/>
      <c r="G703" s="127"/>
      <c r="H703" s="128"/>
    </row>
    <row r="704" ht="22.5" customHeight="1">
      <c r="A704" s="125"/>
      <c r="B704" s="125"/>
      <c r="C704" s="125"/>
      <c r="D704" s="126"/>
      <c r="E704" s="126"/>
      <c r="F704" s="127"/>
      <c r="G704" s="127"/>
      <c r="H704" s="128"/>
    </row>
    <row r="705" ht="22.5" customHeight="1">
      <c r="A705" s="125"/>
      <c r="B705" s="125"/>
      <c r="C705" s="125"/>
      <c r="D705" s="126"/>
      <c r="E705" s="126"/>
      <c r="F705" s="127"/>
      <c r="G705" s="127"/>
      <c r="H705" s="128"/>
    </row>
    <row r="706" ht="22.5" customHeight="1">
      <c r="A706" s="125"/>
      <c r="B706" s="125"/>
      <c r="C706" s="125"/>
      <c r="D706" s="126"/>
      <c r="E706" s="126"/>
      <c r="F706" s="127"/>
      <c r="G706" s="127"/>
      <c r="H706" s="128"/>
    </row>
    <row r="707" ht="22.5" customHeight="1">
      <c r="A707" s="125"/>
      <c r="B707" s="125"/>
      <c r="C707" s="125"/>
      <c r="D707" s="126"/>
      <c r="E707" s="126"/>
      <c r="F707" s="127"/>
      <c r="G707" s="127"/>
      <c r="H707" s="128"/>
    </row>
    <row r="708" ht="22.5" customHeight="1">
      <c r="A708" s="125"/>
      <c r="B708" s="125"/>
      <c r="C708" s="125"/>
      <c r="D708" s="126"/>
      <c r="E708" s="126"/>
      <c r="F708" s="127"/>
      <c r="G708" s="127"/>
      <c r="H708" s="128"/>
    </row>
    <row r="709" ht="22.5" customHeight="1">
      <c r="A709" s="125"/>
      <c r="B709" s="125"/>
      <c r="C709" s="125"/>
      <c r="D709" s="126"/>
      <c r="E709" s="126"/>
      <c r="F709" s="127"/>
      <c r="G709" s="127"/>
      <c r="H709" s="128"/>
    </row>
    <row r="710" ht="22.5" customHeight="1">
      <c r="A710" s="125"/>
      <c r="B710" s="125"/>
      <c r="C710" s="125"/>
      <c r="D710" s="126"/>
      <c r="E710" s="126"/>
      <c r="F710" s="127"/>
      <c r="G710" s="127"/>
      <c r="H710" s="128"/>
    </row>
    <row r="711" ht="22.5" customHeight="1">
      <c r="A711" s="125"/>
      <c r="B711" s="125"/>
      <c r="C711" s="125"/>
      <c r="D711" s="126"/>
      <c r="E711" s="126"/>
      <c r="F711" s="127"/>
      <c r="G711" s="127"/>
      <c r="H711" s="128"/>
    </row>
    <row r="712" ht="22.5" customHeight="1">
      <c r="A712" s="125"/>
      <c r="B712" s="125"/>
      <c r="C712" s="125"/>
      <c r="D712" s="126"/>
      <c r="E712" s="126"/>
      <c r="F712" s="127"/>
      <c r="G712" s="127"/>
      <c r="H712" s="128"/>
    </row>
    <row r="713" ht="22.5" customHeight="1">
      <c r="A713" s="125"/>
      <c r="B713" s="125"/>
      <c r="C713" s="125"/>
      <c r="D713" s="126"/>
      <c r="E713" s="126"/>
      <c r="F713" s="127"/>
      <c r="G713" s="127"/>
      <c r="H713" s="128"/>
    </row>
    <row r="714" ht="22.5" customHeight="1">
      <c r="A714" s="125"/>
      <c r="B714" s="125"/>
      <c r="C714" s="125"/>
      <c r="D714" s="126"/>
      <c r="E714" s="126"/>
      <c r="F714" s="127"/>
      <c r="G714" s="127"/>
      <c r="H714" s="128"/>
    </row>
    <row r="715" ht="22.5" customHeight="1">
      <c r="A715" s="125"/>
      <c r="B715" s="125"/>
      <c r="C715" s="125"/>
      <c r="D715" s="126"/>
      <c r="E715" s="126"/>
      <c r="F715" s="127"/>
      <c r="G715" s="127"/>
      <c r="H715" s="128"/>
    </row>
    <row r="716" ht="22.5" customHeight="1">
      <c r="A716" s="125"/>
      <c r="B716" s="125"/>
      <c r="C716" s="125"/>
      <c r="D716" s="126"/>
      <c r="E716" s="126"/>
      <c r="F716" s="127"/>
      <c r="G716" s="127"/>
      <c r="H716" s="128"/>
    </row>
    <row r="717" ht="22.5" customHeight="1">
      <c r="A717" s="125"/>
      <c r="B717" s="125"/>
      <c r="C717" s="125"/>
      <c r="D717" s="126"/>
      <c r="E717" s="126"/>
      <c r="F717" s="127"/>
      <c r="G717" s="127"/>
      <c r="H717" s="128"/>
    </row>
    <row r="718" ht="22.5" customHeight="1">
      <c r="A718" s="125"/>
      <c r="B718" s="125"/>
      <c r="C718" s="125"/>
      <c r="D718" s="126"/>
      <c r="E718" s="126"/>
      <c r="F718" s="127"/>
      <c r="G718" s="127"/>
      <c r="H718" s="128"/>
    </row>
    <row r="719" ht="22.5" customHeight="1">
      <c r="A719" s="125"/>
      <c r="B719" s="125"/>
      <c r="C719" s="125"/>
      <c r="D719" s="126"/>
      <c r="E719" s="126"/>
      <c r="F719" s="127"/>
      <c r="G719" s="127"/>
      <c r="H719" s="128"/>
    </row>
    <row r="720" ht="22.5" customHeight="1">
      <c r="A720" s="125"/>
      <c r="B720" s="125"/>
      <c r="C720" s="125"/>
      <c r="D720" s="126"/>
      <c r="E720" s="126"/>
      <c r="F720" s="127"/>
      <c r="G720" s="127"/>
      <c r="H720" s="128"/>
    </row>
    <row r="721" ht="22.5" customHeight="1">
      <c r="A721" s="125"/>
      <c r="B721" s="125"/>
      <c r="C721" s="125"/>
      <c r="D721" s="126"/>
      <c r="E721" s="126"/>
      <c r="F721" s="127"/>
      <c r="G721" s="127"/>
      <c r="H721" s="128"/>
    </row>
    <row r="722" ht="22.5" customHeight="1">
      <c r="A722" s="125"/>
      <c r="B722" s="125"/>
      <c r="C722" s="125"/>
      <c r="D722" s="126"/>
      <c r="E722" s="126"/>
      <c r="F722" s="127"/>
      <c r="G722" s="127"/>
      <c r="H722" s="128"/>
    </row>
    <row r="723" ht="22.5" customHeight="1">
      <c r="A723" s="125"/>
      <c r="B723" s="125"/>
      <c r="C723" s="125"/>
      <c r="D723" s="126"/>
      <c r="E723" s="126"/>
      <c r="F723" s="127"/>
      <c r="G723" s="127"/>
      <c r="H723" s="128"/>
    </row>
    <row r="724" ht="22.5" customHeight="1">
      <c r="A724" s="125"/>
      <c r="B724" s="125"/>
      <c r="C724" s="125"/>
      <c r="D724" s="126"/>
      <c r="E724" s="126"/>
      <c r="F724" s="127"/>
      <c r="G724" s="127"/>
      <c r="H724" s="128"/>
    </row>
    <row r="725" ht="22.5" customHeight="1">
      <c r="A725" s="125"/>
      <c r="B725" s="125"/>
      <c r="C725" s="125"/>
      <c r="D725" s="126"/>
      <c r="E725" s="126"/>
      <c r="F725" s="127"/>
      <c r="G725" s="127"/>
      <c r="H725" s="128"/>
    </row>
    <row r="726" ht="22.5" customHeight="1">
      <c r="A726" s="125"/>
      <c r="B726" s="125"/>
      <c r="C726" s="125"/>
      <c r="D726" s="126"/>
      <c r="E726" s="126"/>
      <c r="F726" s="127"/>
      <c r="G726" s="127"/>
      <c r="H726" s="128"/>
    </row>
    <row r="727" ht="22.5" customHeight="1">
      <c r="A727" s="125"/>
      <c r="B727" s="125"/>
      <c r="C727" s="125"/>
      <c r="D727" s="126"/>
      <c r="E727" s="126"/>
      <c r="F727" s="127"/>
      <c r="G727" s="127"/>
      <c r="H727" s="128"/>
    </row>
    <row r="728" ht="22.5" customHeight="1">
      <c r="A728" s="125"/>
      <c r="B728" s="125"/>
      <c r="C728" s="125"/>
      <c r="D728" s="126"/>
      <c r="E728" s="126"/>
      <c r="F728" s="127"/>
      <c r="G728" s="127"/>
      <c r="H728" s="128"/>
    </row>
    <row r="729" ht="22.5" customHeight="1">
      <c r="A729" s="125"/>
      <c r="B729" s="125"/>
      <c r="C729" s="125"/>
      <c r="D729" s="126"/>
      <c r="E729" s="126"/>
      <c r="F729" s="127"/>
      <c r="G729" s="127"/>
      <c r="H729" s="128"/>
    </row>
    <row r="730" ht="22.5" customHeight="1">
      <c r="A730" s="125"/>
      <c r="B730" s="125"/>
      <c r="C730" s="125"/>
      <c r="D730" s="126"/>
      <c r="E730" s="126"/>
      <c r="F730" s="127"/>
      <c r="G730" s="127"/>
      <c r="H730" s="128"/>
    </row>
    <row r="731" ht="22.5" customHeight="1">
      <c r="A731" s="125"/>
      <c r="B731" s="125"/>
      <c r="C731" s="125"/>
      <c r="D731" s="126"/>
      <c r="E731" s="126"/>
      <c r="F731" s="127"/>
      <c r="G731" s="127"/>
      <c r="H731" s="128"/>
    </row>
    <row r="732" ht="22.5" customHeight="1">
      <c r="A732" s="125"/>
      <c r="B732" s="125"/>
      <c r="C732" s="125"/>
      <c r="D732" s="126"/>
      <c r="E732" s="126"/>
      <c r="F732" s="127"/>
      <c r="G732" s="127"/>
      <c r="H732" s="128"/>
    </row>
    <row r="733" ht="22.5" customHeight="1">
      <c r="A733" s="125"/>
      <c r="B733" s="125"/>
      <c r="C733" s="125"/>
      <c r="D733" s="126"/>
      <c r="E733" s="126"/>
      <c r="F733" s="127"/>
      <c r="G733" s="127"/>
      <c r="H733" s="128"/>
    </row>
    <row r="734" ht="22.5" customHeight="1">
      <c r="A734" s="125"/>
      <c r="B734" s="125"/>
      <c r="C734" s="125"/>
      <c r="D734" s="126"/>
      <c r="E734" s="126"/>
      <c r="F734" s="127"/>
      <c r="G734" s="127"/>
      <c r="H734" s="128"/>
    </row>
    <row r="735" ht="22.5" customHeight="1">
      <c r="A735" s="125"/>
      <c r="B735" s="125"/>
      <c r="C735" s="125"/>
      <c r="D735" s="126"/>
      <c r="E735" s="126"/>
      <c r="F735" s="127"/>
      <c r="G735" s="127"/>
      <c r="H735" s="128"/>
    </row>
    <row r="736" ht="22.5" customHeight="1">
      <c r="A736" s="125"/>
      <c r="B736" s="125"/>
      <c r="C736" s="125"/>
      <c r="D736" s="126"/>
      <c r="E736" s="126"/>
      <c r="F736" s="127"/>
      <c r="G736" s="127"/>
      <c r="H736" s="128"/>
    </row>
    <row r="737" ht="22.5" customHeight="1">
      <c r="A737" s="125"/>
      <c r="B737" s="125"/>
      <c r="C737" s="125"/>
      <c r="D737" s="126"/>
      <c r="E737" s="126"/>
      <c r="F737" s="127"/>
      <c r="G737" s="127"/>
      <c r="H737" s="128"/>
    </row>
    <row r="738" ht="22.5" customHeight="1">
      <c r="A738" s="125"/>
      <c r="B738" s="125"/>
      <c r="C738" s="125"/>
      <c r="D738" s="126"/>
      <c r="E738" s="126"/>
      <c r="F738" s="127"/>
      <c r="G738" s="127"/>
      <c r="H738" s="128"/>
    </row>
    <row r="739" ht="22.5" customHeight="1">
      <c r="A739" s="125"/>
      <c r="B739" s="125"/>
      <c r="C739" s="125"/>
      <c r="D739" s="126"/>
      <c r="E739" s="126"/>
      <c r="F739" s="127"/>
      <c r="G739" s="127"/>
      <c r="H739" s="128"/>
    </row>
    <row r="740" ht="22.5" customHeight="1">
      <c r="A740" s="125"/>
      <c r="B740" s="125"/>
      <c r="C740" s="125"/>
      <c r="D740" s="126"/>
      <c r="E740" s="126"/>
      <c r="F740" s="127"/>
      <c r="G740" s="127"/>
      <c r="H740" s="128"/>
    </row>
    <row r="741" ht="22.5" customHeight="1">
      <c r="A741" s="125"/>
      <c r="B741" s="125"/>
      <c r="C741" s="125"/>
      <c r="D741" s="126"/>
      <c r="E741" s="126"/>
      <c r="F741" s="127"/>
      <c r="G741" s="127"/>
      <c r="H741" s="128"/>
    </row>
    <row r="742" ht="22.5" customHeight="1">
      <c r="A742" s="125"/>
      <c r="B742" s="125"/>
      <c r="C742" s="125"/>
      <c r="D742" s="126"/>
      <c r="E742" s="126"/>
      <c r="F742" s="127"/>
      <c r="G742" s="127"/>
      <c r="H742" s="128"/>
    </row>
    <row r="743" ht="22.5" customHeight="1">
      <c r="A743" s="125"/>
      <c r="B743" s="125"/>
      <c r="C743" s="125"/>
      <c r="D743" s="126"/>
      <c r="E743" s="126"/>
      <c r="F743" s="127"/>
      <c r="G743" s="127"/>
      <c r="H743" s="128"/>
    </row>
    <row r="744" ht="22.5" customHeight="1">
      <c r="A744" s="125"/>
      <c r="B744" s="125"/>
      <c r="C744" s="125"/>
      <c r="D744" s="126"/>
      <c r="E744" s="126"/>
      <c r="F744" s="127"/>
      <c r="G744" s="127"/>
      <c r="H744" s="128"/>
    </row>
    <row r="745" ht="22.5" customHeight="1">
      <c r="A745" s="125"/>
      <c r="B745" s="125"/>
      <c r="C745" s="125"/>
      <c r="D745" s="126"/>
      <c r="E745" s="126"/>
      <c r="F745" s="127"/>
      <c r="G745" s="127"/>
      <c r="H745" s="128"/>
    </row>
    <row r="746" ht="22.5" customHeight="1">
      <c r="A746" s="125"/>
      <c r="B746" s="125"/>
      <c r="C746" s="125"/>
      <c r="D746" s="126"/>
      <c r="E746" s="126"/>
      <c r="F746" s="127"/>
      <c r="G746" s="127"/>
      <c r="H746" s="128"/>
    </row>
    <row r="747" ht="22.5" customHeight="1">
      <c r="A747" s="125"/>
      <c r="B747" s="125"/>
      <c r="C747" s="125"/>
      <c r="D747" s="126"/>
      <c r="E747" s="126"/>
      <c r="F747" s="127"/>
      <c r="G747" s="127"/>
      <c r="H747" s="128"/>
    </row>
    <row r="748" ht="22.5" customHeight="1">
      <c r="A748" s="125"/>
      <c r="B748" s="125"/>
      <c r="C748" s="125"/>
      <c r="D748" s="126"/>
      <c r="E748" s="126"/>
      <c r="F748" s="127"/>
      <c r="G748" s="127"/>
      <c r="H748" s="128"/>
    </row>
    <row r="749" ht="22.5" customHeight="1">
      <c r="A749" s="125"/>
      <c r="B749" s="125"/>
      <c r="C749" s="125"/>
      <c r="D749" s="126"/>
      <c r="E749" s="126"/>
      <c r="F749" s="127"/>
      <c r="G749" s="127"/>
      <c r="H749" s="128"/>
    </row>
    <row r="750" ht="22.5" customHeight="1">
      <c r="A750" s="125"/>
      <c r="B750" s="125"/>
      <c r="C750" s="125"/>
      <c r="D750" s="126"/>
      <c r="E750" s="126"/>
      <c r="F750" s="127"/>
      <c r="G750" s="127"/>
      <c r="H750" s="128"/>
    </row>
    <row r="751" ht="22.5" customHeight="1">
      <c r="A751" s="125"/>
      <c r="B751" s="125"/>
      <c r="C751" s="125"/>
      <c r="D751" s="126"/>
      <c r="E751" s="126"/>
      <c r="F751" s="127"/>
      <c r="G751" s="127"/>
      <c r="H751" s="128"/>
    </row>
    <row r="752" ht="22.5" customHeight="1">
      <c r="A752" s="125"/>
      <c r="B752" s="125"/>
      <c r="C752" s="125"/>
      <c r="D752" s="126"/>
      <c r="E752" s="126"/>
      <c r="F752" s="127"/>
      <c r="G752" s="127"/>
      <c r="H752" s="128"/>
    </row>
    <row r="753" ht="22.5" customHeight="1">
      <c r="A753" s="125"/>
      <c r="B753" s="125"/>
      <c r="C753" s="125"/>
      <c r="D753" s="126"/>
      <c r="E753" s="126"/>
      <c r="F753" s="127"/>
      <c r="G753" s="127"/>
      <c r="H753" s="128"/>
    </row>
    <row r="754" ht="22.5" customHeight="1">
      <c r="A754" s="125"/>
      <c r="B754" s="125"/>
      <c r="C754" s="125"/>
      <c r="D754" s="126"/>
      <c r="E754" s="126"/>
      <c r="F754" s="127"/>
      <c r="G754" s="127"/>
      <c r="H754" s="128"/>
    </row>
    <row r="755" ht="22.5" customHeight="1">
      <c r="A755" s="125"/>
      <c r="B755" s="125"/>
      <c r="C755" s="125"/>
      <c r="D755" s="126"/>
      <c r="E755" s="126"/>
      <c r="F755" s="127"/>
      <c r="G755" s="127"/>
      <c r="H755" s="128"/>
    </row>
    <row r="756" ht="22.5" customHeight="1">
      <c r="A756" s="125"/>
      <c r="B756" s="125"/>
      <c r="C756" s="125"/>
      <c r="D756" s="126"/>
      <c r="E756" s="126"/>
      <c r="F756" s="127"/>
      <c r="G756" s="127"/>
      <c r="H756" s="128"/>
    </row>
    <row r="757" ht="22.5" customHeight="1">
      <c r="A757" s="125"/>
      <c r="B757" s="125"/>
      <c r="C757" s="125"/>
      <c r="D757" s="126"/>
      <c r="E757" s="126"/>
      <c r="F757" s="127"/>
      <c r="G757" s="127"/>
      <c r="H757" s="128"/>
    </row>
    <row r="758" ht="22.5" customHeight="1">
      <c r="A758" s="125"/>
      <c r="B758" s="125"/>
      <c r="C758" s="125"/>
      <c r="D758" s="126"/>
      <c r="E758" s="126"/>
      <c r="F758" s="127"/>
      <c r="G758" s="127"/>
      <c r="H758" s="128"/>
    </row>
    <row r="759" ht="22.5" customHeight="1">
      <c r="A759" s="125"/>
      <c r="B759" s="125"/>
      <c r="C759" s="125"/>
      <c r="D759" s="126"/>
      <c r="E759" s="126"/>
      <c r="F759" s="127"/>
      <c r="G759" s="127"/>
      <c r="H759" s="128"/>
    </row>
    <row r="760" ht="22.5" customHeight="1">
      <c r="A760" s="125"/>
      <c r="B760" s="125"/>
      <c r="C760" s="125"/>
      <c r="D760" s="126"/>
      <c r="E760" s="126"/>
      <c r="F760" s="127"/>
      <c r="G760" s="127"/>
      <c r="H760" s="128"/>
    </row>
    <row r="761" ht="22.5" customHeight="1">
      <c r="A761" s="125"/>
      <c r="B761" s="125"/>
      <c r="C761" s="125"/>
      <c r="D761" s="126"/>
      <c r="E761" s="126"/>
      <c r="F761" s="127"/>
      <c r="G761" s="127"/>
      <c r="H761" s="128"/>
    </row>
    <row r="762" ht="22.5" customHeight="1">
      <c r="A762" s="125"/>
      <c r="B762" s="125"/>
      <c r="C762" s="125"/>
      <c r="D762" s="126"/>
      <c r="E762" s="126"/>
      <c r="F762" s="127"/>
      <c r="G762" s="127"/>
      <c r="H762" s="128"/>
    </row>
    <row r="763" ht="22.5" customHeight="1">
      <c r="A763" s="125"/>
      <c r="B763" s="125"/>
      <c r="C763" s="125"/>
      <c r="D763" s="126"/>
      <c r="E763" s="126"/>
      <c r="F763" s="127"/>
      <c r="G763" s="127"/>
      <c r="H763" s="128"/>
    </row>
    <row r="764" ht="22.5" customHeight="1">
      <c r="A764" s="125"/>
      <c r="B764" s="125"/>
      <c r="C764" s="125"/>
      <c r="D764" s="126"/>
      <c r="E764" s="126"/>
      <c r="F764" s="127"/>
      <c r="G764" s="127"/>
      <c r="H764" s="128"/>
    </row>
    <row r="765" ht="22.5" customHeight="1">
      <c r="A765" s="125"/>
      <c r="B765" s="125"/>
      <c r="C765" s="125"/>
      <c r="D765" s="126"/>
      <c r="E765" s="126"/>
      <c r="F765" s="127"/>
      <c r="G765" s="127"/>
      <c r="H765" s="128"/>
    </row>
    <row r="766" ht="22.5" customHeight="1">
      <c r="A766" s="125"/>
      <c r="B766" s="125"/>
      <c r="C766" s="125"/>
      <c r="D766" s="126"/>
      <c r="E766" s="126"/>
      <c r="F766" s="127"/>
      <c r="G766" s="127"/>
      <c r="H766" s="128"/>
    </row>
    <row r="767" ht="22.5" customHeight="1">
      <c r="A767" s="125"/>
      <c r="B767" s="125"/>
      <c r="C767" s="125"/>
      <c r="D767" s="126"/>
      <c r="E767" s="126"/>
      <c r="F767" s="127"/>
      <c r="G767" s="127"/>
      <c r="H767" s="128"/>
    </row>
    <row r="768" ht="22.5" customHeight="1">
      <c r="A768" s="125"/>
      <c r="B768" s="125"/>
      <c r="C768" s="125"/>
      <c r="D768" s="126"/>
      <c r="E768" s="126"/>
      <c r="F768" s="127"/>
      <c r="G768" s="127"/>
      <c r="H768" s="128"/>
    </row>
    <row r="769" ht="22.5" customHeight="1">
      <c r="A769" s="125"/>
      <c r="B769" s="125"/>
      <c r="C769" s="125"/>
      <c r="D769" s="126"/>
      <c r="E769" s="126"/>
      <c r="F769" s="127"/>
      <c r="G769" s="127"/>
      <c r="H769" s="128"/>
    </row>
    <row r="770" ht="22.5" customHeight="1">
      <c r="A770" s="125"/>
      <c r="B770" s="125"/>
      <c r="C770" s="125"/>
      <c r="D770" s="126"/>
      <c r="E770" s="126"/>
      <c r="F770" s="127"/>
      <c r="G770" s="127"/>
      <c r="H770" s="128"/>
    </row>
    <row r="771" ht="22.5" customHeight="1">
      <c r="A771" s="125"/>
      <c r="B771" s="125"/>
      <c r="C771" s="125"/>
      <c r="D771" s="126"/>
      <c r="E771" s="126"/>
      <c r="F771" s="127"/>
      <c r="G771" s="127"/>
      <c r="H771" s="128"/>
    </row>
    <row r="772" ht="22.5" customHeight="1">
      <c r="A772" s="125"/>
      <c r="B772" s="125"/>
      <c r="C772" s="125"/>
      <c r="D772" s="126"/>
      <c r="E772" s="126"/>
      <c r="F772" s="127"/>
      <c r="G772" s="127"/>
      <c r="H772" s="128"/>
    </row>
    <row r="773" ht="22.5" customHeight="1">
      <c r="A773" s="125"/>
      <c r="B773" s="125"/>
      <c r="C773" s="125"/>
      <c r="D773" s="126"/>
      <c r="E773" s="126"/>
      <c r="F773" s="127"/>
      <c r="G773" s="127"/>
      <c r="H773" s="128"/>
    </row>
    <row r="774" ht="22.5" customHeight="1">
      <c r="A774" s="125"/>
      <c r="B774" s="125"/>
      <c r="C774" s="125"/>
      <c r="D774" s="126"/>
      <c r="E774" s="126"/>
      <c r="F774" s="127"/>
      <c r="G774" s="127"/>
      <c r="H774" s="128"/>
    </row>
    <row r="775" ht="22.5" customHeight="1">
      <c r="A775" s="125"/>
      <c r="B775" s="125"/>
      <c r="C775" s="125"/>
      <c r="D775" s="126"/>
      <c r="E775" s="126"/>
      <c r="F775" s="127"/>
      <c r="G775" s="127"/>
      <c r="H775" s="128"/>
    </row>
    <row r="776" ht="22.5" customHeight="1">
      <c r="A776" s="125"/>
      <c r="B776" s="125"/>
      <c r="C776" s="125"/>
      <c r="D776" s="126"/>
      <c r="E776" s="126"/>
      <c r="F776" s="127"/>
      <c r="G776" s="127"/>
      <c r="H776" s="128"/>
    </row>
    <row r="777" ht="22.5" customHeight="1">
      <c r="A777" s="125"/>
      <c r="B777" s="125"/>
      <c r="C777" s="125"/>
      <c r="D777" s="126"/>
      <c r="E777" s="126"/>
      <c r="F777" s="127"/>
      <c r="G777" s="127"/>
      <c r="H777" s="128"/>
    </row>
    <row r="778" ht="22.5" customHeight="1">
      <c r="A778" s="125"/>
      <c r="B778" s="125"/>
      <c r="C778" s="125"/>
      <c r="D778" s="126"/>
      <c r="E778" s="126"/>
      <c r="F778" s="127"/>
      <c r="G778" s="127"/>
      <c r="H778" s="128"/>
    </row>
    <row r="779" ht="22.5" customHeight="1">
      <c r="A779" s="125"/>
      <c r="B779" s="125"/>
      <c r="C779" s="125"/>
      <c r="D779" s="126"/>
      <c r="E779" s="126"/>
      <c r="F779" s="127"/>
      <c r="G779" s="127"/>
      <c r="H779" s="128"/>
    </row>
    <row r="780" ht="22.5" customHeight="1">
      <c r="A780" s="125"/>
      <c r="B780" s="125"/>
      <c r="C780" s="125"/>
      <c r="D780" s="126"/>
      <c r="E780" s="126"/>
      <c r="F780" s="127"/>
      <c r="G780" s="127"/>
      <c r="H780" s="128"/>
    </row>
    <row r="781" ht="22.5" customHeight="1">
      <c r="A781" s="125"/>
      <c r="B781" s="125"/>
      <c r="C781" s="125"/>
      <c r="D781" s="126"/>
      <c r="E781" s="126"/>
      <c r="F781" s="127"/>
      <c r="G781" s="127"/>
      <c r="H781" s="128"/>
    </row>
    <row r="782" ht="22.5" customHeight="1">
      <c r="A782" s="125"/>
      <c r="B782" s="125"/>
      <c r="C782" s="125"/>
      <c r="D782" s="126"/>
      <c r="E782" s="126"/>
      <c r="F782" s="127"/>
      <c r="G782" s="127"/>
      <c r="H782" s="128"/>
    </row>
    <row r="783" ht="22.5" customHeight="1">
      <c r="A783" s="125"/>
      <c r="B783" s="125"/>
      <c r="C783" s="125"/>
      <c r="D783" s="126"/>
      <c r="E783" s="126"/>
      <c r="F783" s="127"/>
      <c r="G783" s="127"/>
      <c r="H783" s="128"/>
    </row>
    <row r="784" ht="22.5" customHeight="1">
      <c r="A784" s="125"/>
      <c r="B784" s="125"/>
      <c r="C784" s="125"/>
      <c r="D784" s="126"/>
      <c r="E784" s="126"/>
      <c r="F784" s="127"/>
      <c r="G784" s="127"/>
      <c r="H784" s="128"/>
    </row>
    <row r="785" ht="22.5" customHeight="1">
      <c r="A785" s="125"/>
      <c r="B785" s="125"/>
      <c r="C785" s="125"/>
      <c r="D785" s="126"/>
      <c r="E785" s="126"/>
      <c r="F785" s="127"/>
      <c r="G785" s="127"/>
      <c r="H785" s="128"/>
    </row>
    <row r="786" ht="22.5" customHeight="1">
      <c r="A786" s="125"/>
      <c r="B786" s="125"/>
      <c r="C786" s="125"/>
      <c r="D786" s="126"/>
      <c r="E786" s="126"/>
      <c r="F786" s="127"/>
      <c r="G786" s="127"/>
      <c r="H786" s="128"/>
    </row>
    <row r="787" ht="22.5" customHeight="1">
      <c r="A787" s="125"/>
      <c r="B787" s="125"/>
      <c r="C787" s="125"/>
      <c r="D787" s="126"/>
      <c r="E787" s="126"/>
      <c r="F787" s="127"/>
      <c r="G787" s="127"/>
      <c r="H787" s="128"/>
    </row>
    <row r="788" ht="22.5" customHeight="1">
      <c r="A788" s="125"/>
      <c r="B788" s="125"/>
      <c r="C788" s="125"/>
      <c r="D788" s="126"/>
      <c r="E788" s="126"/>
      <c r="F788" s="127"/>
      <c r="G788" s="127"/>
      <c r="H788" s="128"/>
    </row>
    <row r="789" ht="22.5" customHeight="1">
      <c r="A789" s="125"/>
      <c r="B789" s="125"/>
      <c r="C789" s="125"/>
      <c r="D789" s="126"/>
      <c r="E789" s="126"/>
      <c r="F789" s="127"/>
      <c r="G789" s="127"/>
      <c r="H789" s="128"/>
    </row>
    <row r="790" ht="22.5" customHeight="1">
      <c r="A790" s="125"/>
      <c r="B790" s="125"/>
      <c r="C790" s="125"/>
      <c r="D790" s="126"/>
      <c r="E790" s="126"/>
      <c r="F790" s="127"/>
      <c r="G790" s="127"/>
      <c r="H790" s="128"/>
    </row>
    <row r="791" ht="22.5" customHeight="1">
      <c r="A791" s="125"/>
      <c r="B791" s="125"/>
      <c r="C791" s="125"/>
      <c r="D791" s="126"/>
      <c r="E791" s="126"/>
      <c r="F791" s="127"/>
      <c r="G791" s="127"/>
      <c r="H791" s="128"/>
    </row>
    <row r="792" ht="22.5" customHeight="1">
      <c r="A792" s="125"/>
      <c r="B792" s="125"/>
      <c r="C792" s="125"/>
      <c r="D792" s="126"/>
      <c r="E792" s="126"/>
      <c r="F792" s="127"/>
      <c r="G792" s="127"/>
      <c r="H792" s="128"/>
    </row>
    <row r="793" ht="22.5" customHeight="1">
      <c r="A793" s="125"/>
      <c r="B793" s="125"/>
      <c r="C793" s="125"/>
      <c r="D793" s="126"/>
      <c r="E793" s="126"/>
      <c r="F793" s="127"/>
      <c r="G793" s="127"/>
      <c r="H793" s="128"/>
    </row>
    <row r="794" ht="22.5" customHeight="1">
      <c r="A794" s="125"/>
      <c r="B794" s="125"/>
      <c r="C794" s="125"/>
      <c r="D794" s="126"/>
      <c r="E794" s="126"/>
      <c r="F794" s="127"/>
      <c r="G794" s="127"/>
      <c r="H794" s="128"/>
    </row>
    <row r="795" ht="22.5" customHeight="1">
      <c r="A795" s="125"/>
      <c r="B795" s="125"/>
      <c r="C795" s="125"/>
      <c r="D795" s="126"/>
      <c r="E795" s="126"/>
      <c r="F795" s="127"/>
      <c r="G795" s="127"/>
      <c r="H795" s="128"/>
    </row>
    <row r="796" ht="22.5" customHeight="1">
      <c r="A796" s="125"/>
      <c r="B796" s="125"/>
      <c r="C796" s="125"/>
      <c r="D796" s="126"/>
      <c r="E796" s="126"/>
      <c r="F796" s="127"/>
      <c r="G796" s="127"/>
      <c r="H796" s="128"/>
    </row>
    <row r="797" ht="22.5" customHeight="1">
      <c r="A797" s="125"/>
      <c r="B797" s="125"/>
      <c r="C797" s="125"/>
      <c r="D797" s="126"/>
      <c r="E797" s="126"/>
      <c r="F797" s="127"/>
      <c r="G797" s="127"/>
      <c r="H797" s="128"/>
    </row>
    <row r="798" ht="22.5" customHeight="1">
      <c r="A798" s="125"/>
      <c r="B798" s="125"/>
      <c r="C798" s="125"/>
      <c r="D798" s="126"/>
      <c r="E798" s="126"/>
      <c r="F798" s="127"/>
      <c r="G798" s="127"/>
      <c r="H798" s="128"/>
    </row>
    <row r="799" ht="22.5" customHeight="1">
      <c r="A799" s="125"/>
      <c r="B799" s="125"/>
      <c r="C799" s="125"/>
      <c r="D799" s="126"/>
      <c r="E799" s="126"/>
      <c r="F799" s="127"/>
      <c r="G799" s="127"/>
      <c r="H799" s="128"/>
    </row>
    <row r="800" ht="22.5" customHeight="1">
      <c r="A800" s="125"/>
      <c r="B800" s="125"/>
      <c r="C800" s="125"/>
      <c r="D800" s="126"/>
      <c r="E800" s="126"/>
      <c r="F800" s="127"/>
      <c r="G800" s="127"/>
      <c r="H800" s="128"/>
    </row>
    <row r="801" ht="22.5" customHeight="1">
      <c r="A801" s="125"/>
      <c r="B801" s="125"/>
      <c r="C801" s="125"/>
      <c r="D801" s="126"/>
      <c r="E801" s="126"/>
      <c r="F801" s="127"/>
      <c r="G801" s="127"/>
      <c r="H801" s="128"/>
    </row>
    <row r="802" ht="22.5" customHeight="1">
      <c r="A802" s="125"/>
      <c r="B802" s="125"/>
      <c r="C802" s="125"/>
      <c r="D802" s="126"/>
      <c r="E802" s="126"/>
      <c r="F802" s="127"/>
      <c r="G802" s="127"/>
      <c r="H802" s="128"/>
    </row>
    <row r="803" ht="22.5" customHeight="1">
      <c r="A803" s="125"/>
      <c r="B803" s="125"/>
      <c r="C803" s="125"/>
      <c r="D803" s="126"/>
      <c r="E803" s="126"/>
      <c r="F803" s="127"/>
      <c r="G803" s="127"/>
      <c r="H803" s="128"/>
    </row>
    <row r="804" ht="22.5" customHeight="1">
      <c r="A804" s="125"/>
      <c r="B804" s="125"/>
      <c r="C804" s="125"/>
      <c r="D804" s="126"/>
      <c r="E804" s="126"/>
      <c r="F804" s="127"/>
      <c r="G804" s="127"/>
      <c r="H804" s="128"/>
    </row>
    <row r="805" ht="22.5" customHeight="1">
      <c r="A805" s="125"/>
      <c r="B805" s="125"/>
      <c r="C805" s="125"/>
      <c r="D805" s="126"/>
      <c r="E805" s="126"/>
      <c r="F805" s="127"/>
      <c r="G805" s="127"/>
      <c r="H805" s="128"/>
    </row>
    <row r="806" ht="22.5" customHeight="1">
      <c r="A806" s="125"/>
      <c r="B806" s="125"/>
      <c r="C806" s="125"/>
      <c r="D806" s="126"/>
      <c r="E806" s="126"/>
      <c r="F806" s="127"/>
      <c r="G806" s="127"/>
      <c r="H806" s="128"/>
    </row>
    <row r="807" ht="22.5" customHeight="1">
      <c r="A807" s="125"/>
      <c r="B807" s="125"/>
      <c r="C807" s="125"/>
      <c r="D807" s="126"/>
      <c r="E807" s="126"/>
      <c r="F807" s="127"/>
      <c r="G807" s="127"/>
      <c r="H807" s="128"/>
    </row>
    <row r="808" ht="22.5" customHeight="1">
      <c r="A808" s="125"/>
      <c r="B808" s="125"/>
      <c r="C808" s="125"/>
      <c r="D808" s="126"/>
      <c r="E808" s="126"/>
      <c r="F808" s="127"/>
      <c r="G808" s="127"/>
      <c r="H808" s="128"/>
    </row>
    <row r="809" ht="22.5" customHeight="1">
      <c r="A809" s="125"/>
      <c r="B809" s="125"/>
      <c r="C809" s="125"/>
      <c r="D809" s="126"/>
      <c r="E809" s="126"/>
      <c r="F809" s="127"/>
      <c r="G809" s="127"/>
      <c r="H809" s="128"/>
    </row>
    <row r="810" ht="22.5" customHeight="1">
      <c r="A810" s="125"/>
      <c r="B810" s="125"/>
      <c r="C810" s="125"/>
      <c r="D810" s="126"/>
      <c r="E810" s="126"/>
      <c r="F810" s="127"/>
      <c r="G810" s="127"/>
      <c r="H810" s="128"/>
    </row>
    <row r="811" ht="22.5" customHeight="1">
      <c r="A811" s="125"/>
      <c r="B811" s="125"/>
      <c r="C811" s="125"/>
      <c r="D811" s="126"/>
      <c r="E811" s="126"/>
      <c r="F811" s="127"/>
      <c r="G811" s="127"/>
      <c r="H811" s="128"/>
    </row>
    <row r="812" ht="22.5" customHeight="1">
      <c r="A812" s="125"/>
      <c r="B812" s="125"/>
      <c r="C812" s="125"/>
      <c r="D812" s="126"/>
      <c r="E812" s="126"/>
      <c r="F812" s="127"/>
      <c r="G812" s="127"/>
      <c r="H812" s="128"/>
    </row>
    <row r="813" ht="22.5" customHeight="1">
      <c r="A813" s="125"/>
      <c r="B813" s="125"/>
      <c r="C813" s="125"/>
      <c r="D813" s="126"/>
      <c r="E813" s="126"/>
      <c r="F813" s="127"/>
      <c r="G813" s="127"/>
      <c r="H813" s="128"/>
    </row>
    <row r="814" ht="22.5" customHeight="1">
      <c r="A814" s="125"/>
      <c r="B814" s="125"/>
      <c r="C814" s="125"/>
      <c r="D814" s="126"/>
      <c r="E814" s="126"/>
      <c r="F814" s="127"/>
      <c r="G814" s="127"/>
      <c r="H814" s="128"/>
    </row>
    <row r="815" ht="22.5" customHeight="1">
      <c r="A815" s="125"/>
      <c r="B815" s="125"/>
      <c r="C815" s="125"/>
      <c r="D815" s="126"/>
      <c r="E815" s="126"/>
      <c r="F815" s="127"/>
      <c r="G815" s="127"/>
      <c r="H815" s="128"/>
    </row>
    <row r="816" ht="22.5" customHeight="1">
      <c r="A816" s="125"/>
      <c r="B816" s="125"/>
      <c r="C816" s="125"/>
      <c r="D816" s="126"/>
      <c r="E816" s="126"/>
      <c r="F816" s="127"/>
      <c r="G816" s="127"/>
      <c r="H816" s="128"/>
    </row>
    <row r="817" ht="22.5" customHeight="1">
      <c r="A817" s="125"/>
      <c r="B817" s="125"/>
      <c r="C817" s="125"/>
      <c r="D817" s="126"/>
      <c r="E817" s="126"/>
      <c r="F817" s="127"/>
      <c r="G817" s="127"/>
      <c r="H817" s="128"/>
    </row>
    <row r="818" ht="22.5" customHeight="1">
      <c r="A818" s="125"/>
      <c r="B818" s="125"/>
      <c r="C818" s="125"/>
      <c r="D818" s="126"/>
      <c r="E818" s="126"/>
      <c r="F818" s="127"/>
      <c r="G818" s="127"/>
      <c r="H818" s="128"/>
    </row>
    <row r="819" ht="22.5" customHeight="1">
      <c r="A819" s="125"/>
      <c r="B819" s="125"/>
      <c r="C819" s="125"/>
      <c r="D819" s="126"/>
      <c r="E819" s="126"/>
      <c r="F819" s="127"/>
      <c r="G819" s="127"/>
      <c r="H819" s="128"/>
    </row>
    <row r="820" ht="22.5" customHeight="1">
      <c r="A820" s="125"/>
      <c r="B820" s="125"/>
      <c r="C820" s="125"/>
      <c r="D820" s="126"/>
      <c r="E820" s="126"/>
      <c r="F820" s="127"/>
      <c r="G820" s="127"/>
      <c r="H820" s="128"/>
    </row>
    <row r="821" ht="22.5" customHeight="1">
      <c r="A821" s="125"/>
      <c r="B821" s="125"/>
      <c r="C821" s="125"/>
      <c r="D821" s="126"/>
      <c r="E821" s="126"/>
      <c r="F821" s="127"/>
      <c r="G821" s="127"/>
      <c r="H821" s="128"/>
    </row>
    <row r="822" ht="22.5" customHeight="1">
      <c r="A822" s="125"/>
      <c r="B822" s="125"/>
      <c r="C822" s="125"/>
      <c r="D822" s="126"/>
      <c r="E822" s="126"/>
      <c r="F822" s="127"/>
      <c r="G822" s="127"/>
      <c r="H822" s="128"/>
    </row>
    <row r="823" ht="22.5" customHeight="1">
      <c r="A823" s="125"/>
      <c r="B823" s="125"/>
      <c r="C823" s="125"/>
      <c r="D823" s="126"/>
      <c r="E823" s="126"/>
      <c r="F823" s="127"/>
      <c r="G823" s="127"/>
      <c r="H823" s="128"/>
    </row>
    <row r="824" ht="22.5" customHeight="1">
      <c r="A824" s="125"/>
      <c r="B824" s="125"/>
      <c r="C824" s="125"/>
      <c r="D824" s="126"/>
      <c r="E824" s="126"/>
      <c r="F824" s="127"/>
      <c r="G824" s="127"/>
      <c r="H824" s="128"/>
    </row>
    <row r="825" ht="22.5" customHeight="1">
      <c r="A825" s="125"/>
      <c r="B825" s="125"/>
      <c r="C825" s="125"/>
      <c r="D825" s="126"/>
      <c r="E825" s="126"/>
      <c r="F825" s="127"/>
      <c r="G825" s="127"/>
      <c r="H825" s="128"/>
    </row>
    <row r="826" ht="22.5" customHeight="1">
      <c r="A826" s="125"/>
      <c r="B826" s="125"/>
      <c r="C826" s="125"/>
      <c r="D826" s="126"/>
      <c r="E826" s="126"/>
      <c r="F826" s="127"/>
      <c r="G826" s="127"/>
      <c r="H826" s="128"/>
    </row>
    <row r="827" ht="22.5" customHeight="1">
      <c r="A827" s="125"/>
      <c r="B827" s="125"/>
      <c r="C827" s="125"/>
      <c r="D827" s="126"/>
      <c r="E827" s="126"/>
      <c r="F827" s="127"/>
      <c r="G827" s="127"/>
      <c r="H827" s="128"/>
    </row>
    <row r="828" ht="22.5" customHeight="1">
      <c r="A828" s="125"/>
      <c r="B828" s="125"/>
      <c r="C828" s="125"/>
      <c r="D828" s="126"/>
      <c r="E828" s="126"/>
      <c r="F828" s="127"/>
      <c r="G828" s="127"/>
      <c r="H828" s="128"/>
    </row>
    <row r="829" ht="22.5" customHeight="1">
      <c r="A829" s="125"/>
      <c r="B829" s="125"/>
      <c r="C829" s="125"/>
      <c r="D829" s="126"/>
      <c r="E829" s="126"/>
      <c r="F829" s="127"/>
      <c r="G829" s="127"/>
      <c r="H829" s="128"/>
    </row>
    <row r="830" ht="22.5" customHeight="1">
      <c r="A830" s="125"/>
      <c r="B830" s="125"/>
      <c r="C830" s="125"/>
      <c r="D830" s="126"/>
      <c r="E830" s="126"/>
      <c r="F830" s="127"/>
      <c r="G830" s="127"/>
      <c r="H830" s="128"/>
    </row>
    <row r="831" ht="22.5" customHeight="1">
      <c r="A831" s="125"/>
      <c r="B831" s="125"/>
      <c r="C831" s="125"/>
      <c r="D831" s="126"/>
      <c r="E831" s="126"/>
      <c r="F831" s="127"/>
      <c r="G831" s="127"/>
      <c r="H831" s="128"/>
    </row>
    <row r="832" ht="22.5" customHeight="1">
      <c r="A832" s="125"/>
      <c r="B832" s="125"/>
      <c r="C832" s="125"/>
      <c r="D832" s="126"/>
      <c r="E832" s="126"/>
      <c r="F832" s="127"/>
      <c r="G832" s="127"/>
      <c r="H832" s="128"/>
    </row>
    <row r="833" ht="22.5" customHeight="1">
      <c r="A833" s="125"/>
      <c r="B833" s="125"/>
      <c r="C833" s="125"/>
      <c r="D833" s="126"/>
      <c r="E833" s="126"/>
      <c r="F833" s="127"/>
      <c r="G833" s="127"/>
      <c r="H833" s="128"/>
    </row>
    <row r="834" ht="22.5" customHeight="1">
      <c r="A834" s="125"/>
      <c r="B834" s="125"/>
      <c r="C834" s="125"/>
      <c r="D834" s="126"/>
      <c r="E834" s="126"/>
      <c r="F834" s="127"/>
      <c r="G834" s="127"/>
      <c r="H834" s="128"/>
    </row>
    <row r="835" ht="22.5" customHeight="1">
      <c r="A835" s="125"/>
      <c r="B835" s="125"/>
      <c r="C835" s="125"/>
      <c r="D835" s="126"/>
      <c r="E835" s="126"/>
      <c r="F835" s="127"/>
      <c r="G835" s="127"/>
      <c r="H835" s="128"/>
    </row>
    <row r="836" ht="22.5" customHeight="1">
      <c r="A836" s="125"/>
      <c r="B836" s="125"/>
      <c r="C836" s="125"/>
      <c r="D836" s="126"/>
      <c r="E836" s="126"/>
      <c r="F836" s="127"/>
      <c r="G836" s="127"/>
      <c r="H836" s="128"/>
    </row>
    <row r="837" ht="22.5" customHeight="1">
      <c r="A837" s="125"/>
      <c r="B837" s="125"/>
      <c r="C837" s="125"/>
      <c r="D837" s="126"/>
      <c r="E837" s="126"/>
      <c r="F837" s="127"/>
      <c r="G837" s="127"/>
      <c r="H837" s="128"/>
    </row>
    <row r="838" ht="22.5" customHeight="1">
      <c r="A838" s="125"/>
      <c r="B838" s="125"/>
      <c r="C838" s="125"/>
      <c r="D838" s="126"/>
      <c r="E838" s="126"/>
      <c r="F838" s="127"/>
      <c r="G838" s="127"/>
      <c r="H838" s="128"/>
    </row>
    <row r="839" ht="22.5" customHeight="1">
      <c r="A839" s="125"/>
      <c r="B839" s="125"/>
      <c r="C839" s="125"/>
      <c r="D839" s="126"/>
      <c r="E839" s="126"/>
      <c r="F839" s="127"/>
      <c r="G839" s="127"/>
      <c r="H839" s="128"/>
    </row>
    <row r="840" ht="22.5" customHeight="1">
      <c r="A840" s="125"/>
      <c r="B840" s="125"/>
      <c r="C840" s="125"/>
      <c r="D840" s="126"/>
      <c r="E840" s="126"/>
      <c r="F840" s="127"/>
      <c r="G840" s="127"/>
      <c r="H840" s="128"/>
    </row>
    <row r="841" ht="22.5" customHeight="1">
      <c r="A841" s="125"/>
      <c r="B841" s="125"/>
      <c r="C841" s="125"/>
      <c r="D841" s="126"/>
      <c r="E841" s="126"/>
      <c r="F841" s="127"/>
      <c r="G841" s="127"/>
      <c r="H841" s="128"/>
    </row>
    <row r="842" ht="22.5" customHeight="1">
      <c r="A842" s="125"/>
      <c r="B842" s="125"/>
      <c r="C842" s="125"/>
      <c r="D842" s="126"/>
      <c r="E842" s="126"/>
      <c r="F842" s="127"/>
      <c r="G842" s="127"/>
      <c r="H842" s="128"/>
    </row>
    <row r="843" ht="22.5" customHeight="1">
      <c r="A843" s="125"/>
      <c r="B843" s="125"/>
      <c r="C843" s="125"/>
      <c r="D843" s="126"/>
      <c r="E843" s="126"/>
      <c r="F843" s="127"/>
      <c r="G843" s="127"/>
      <c r="H843" s="128"/>
    </row>
    <row r="844" ht="22.5" customHeight="1">
      <c r="A844" s="125"/>
      <c r="B844" s="125"/>
      <c r="C844" s="125"/>
      <c r="D844" s="126"/>
      <c r="E844" s="126"/>
      <c r="F844" s="127"/>
      <c r="G844" s="127"/>
      <c r="H844" s="128"/>
    </row>
    <row r="845" ht="22.5" customHeight="1">
      <c r="A845" s="125"/>
      <c r="B845" s="125"/>
      <c r="C845" s="125"/>
      <c r="D845" s="126"/>
      <c r="E845" s="126"/>
      <c r="F845" s="127"/>
      <c r="G845" s="127"/>
      <c r="H845" s="128"/>
    </row>
    <row r="846" ht="22.5" customHeight="1">
      <c r="A846" s="125"/>
      <c r="B846" s="125"/>
      <c r="C846" s="125"/>
      <c r="D846" s="126"/>
      <c r="E846" s="126"/>
      <c r="F846" s="127"/>
      <c r="G846" s="127"/>
      <c r="H846" s="128"/>
    </row>
    <row r="847" ht="22.5" customHeight="1">
      <c r="A847" s="125"/>
      <c r="B847" s="125"/>
      <c r="C847" s="125"/>
      <c r="D847" s="126"/>
      <c r="E847" s="126"/>
      <c r="F847" s="127"/>
      <c r="G847" s="127"/>
      <c r="H847" s="128"/>
    </row>
    <row r="848" ht="22.5" customHeight="1">
      <c r="A848" s="125"/>
      <c r="B848" s="125"/>
      <c r="C848" s="125"/>
      <c r="D848" s="126"/>
      <c r="E848" s="126"/>
      <c r="F848" s="127"/>
      <c r="G848" s="127"/>
      <c r="H848" s="128"/>
    </row>
    <row r="849" ht="22.5" customHeight="1">
      <c r="A849" s="125"/>
      <c r="B849" s="125"/>
      <c r="C849" s="125"/>
      <c r="D849" s="126"/>
      <c r="E849" s="126"/>
      <c r="F849" s="127"/>
      <c r="G849" s="127"/>
      <c r="H849" s="128"/>
    </row>
    <row r="850" ht="22.5" customHeight="1">
      <c r="A850" s="125"/>
      <c r="B850" s="125"/>
      <c r="C850" s="125"/>
      <c r="D850" s="126"/>
      <c r="E850" s="126"/>
      <c r="F850" s="127"/>
      <c r="G850" s="127"/>
      <c r="H850" s="128"/>
    </row>
    <row r="851" ht="22.5" customHeight="1">
      <c r="A851" s="125"/>
      <c r="B851" s="125"/>
      <c r="C851" s="125"/>
      <c r="D851" s="126"/>
      <c r="E851" s="126"/>
      <c r="F851" s="127"/>
      <c r="G851" s="127"/>
      <c r="H851" s="128"/>
    </row>
    <row r="852" ht="22.5" customHeight="1">
      <c r="A852" s="125"/>
      <c r="B852" s="125"/>
      <c r="C852" s="125"/>
      <c r="D852" s="126"/>
      <c r="E852" s="126"/>
      <c r="F852" s="127"/>
      <c r="G852" s="127"/>
      <c r="H852" s="128"/>
    </row>
    <row r="853" ht="22.5" customHeight="1">
      <c r="A853" s="125"/>
      <c r="B853" s="125"/>
      <c r="C853" s="125"/>
      <c r="D853" s="126"/>
      <c r="E853" s="126"/>
      <c r="F853" s="127"/>
      <c r="G853" s="127"/>
      <c r="H853" s="128"/>
    </row>
    <row r="854" ht="22.5" customHeight="1">
      <c r="A854" s="125"/>
      <c r="B854" s="125"/>
      <c r="C854" s="125"/>
      <c r="D854" s="126"/>
      <c r="E854" s="126"/>
      <c r="F854" s="127"/>
      <c r="G854" s="127"/>
      <c r="H854" s="128"/>
    </row>
    <row r="855" ht="22.5" customHeight="1">
      <c r="A855" s="125"/>
      <c r="B855" s="125"/>
      <c r="C855" s="125"/>
      <c r="D855" s="126"/>
      <c r="E855" s="126"/>
      <c r="F855" s="127"/>
      <c r="G855" s="127"/>
      <c r="H855" s="128"/>
    </row>
    <row r="856" ht="22.5" customHeight="1">
      <c r="A856" s="125"/>
      <c r="B856" s="125"/>
      <c r="C856" s="125"/>
      <c r="D856" s="126"/>
      <c r="E856" s="126"/>
      <c r="F856" s="127"/>
      <c r="G856" s="127"/>
      <c r="H856" s="128"/>
    </row>
    <row r="857" ht="22.5" customHeight="1">
      <c r="A857" s="125"/>
      <c r="B857" s="125"/>
      <c r="C857" s="125"/>
      <c r="D857" s="126"/>
      <c r="E857" s="126"/>
      <c r="F857" s="127"/>
      <c r="G857" s="127"/>
      <c r="H857" s="128"/>
    </row>
    <row r="858" ht="22.5" customHeight="1">
      <c r="A858" s="125"/>
      <c r="B858" s="125"/>
      <c r="C858" s="125"/>
      <c r="D858" s="126"/>
      <c r="E858" s="126"/>
      <c r="F858" s="127"/>
      <c r="G858" s="127"/>
      <c r="H858" s="128"/>
    </row>
    <row r="859" ht="22.5" customHeight="1">
      <c r="A859" s="125"/>
      <c r="B859" s="125"/>
      <c r="C859" s="125"/>
      <c r="D859" s="126"/>
      <c r="E859" s="126"/>
      <c r="F859" s="127"/>
      <c r="G859" s="127"/>
      <c r="H859" s="128"/>
    </row>
    <row r="860" ht="22.5" customHeight="1">
      <c r="A860" s="125"/>
      <c r="B860" s="125"/>
      <c r="C860" s="125"/>
      <c r="D860" s="126"/>
      <c r="E860" s="126"/>
      <c r="F860" s="127"/>
      <c r="G860" s="127"/>
      <c r="H860" s="128"/>
    </row>
    <row r="861" ht="22.5" customHeight="1">
      <c r="A861" s="125"/>
      <c r="B861" s="125"/>
      <c r="C861" s="125"/>
      <c r="D861" s="126"/>
      <c r="E861" s="126"/>
      <c r="F861" s="127"/>
      <c r="G861" s="127"/>
      <c r="H861" s="128"/>
    </row>
    <row r="862" ht="22.5" customHeight="1">
      <c r="A862" s="125"/>
      <c r="B862" s="125"/>
      <c r="C862" s="125"/>
      <c r="D862" s="126"/>
      <c r="E862" s="126"/>
      <c r="F862" s="127"/>
      <c r="G862" s="127"/>
      <c r="H862" s="128"/>
    </row>
    <row r="863" ht="22.5" customHeight="1">
      <c r="A863" s="125"/>
      <c r="B863" s="125"/>
      <c r="C863" s="125"/>
      <c r="D863" s="126"/>
      <c r="E863" s="126"/>
      <c r="F863" s="127"/>
      <c r="G863" s="127"/>
      <c r="H863" s="128"/>
    </row>
    <row r="864" ht="22.5" customHeight="1">
      <c r="A864" s="125"/>
      <c r="B864" s="125"/>
      <c r="C864" s="125"/>
      <c r="D864" s="126"/>
      <c r="E864" s="126"/>
      <c r="F864" s="127"/>
      <c r="G864" s="127"/>
      <c r="H864" s="128"/>
    </row>
    <row r="865" ht="22.5" customHeight="1">
      <c r="A865" s="125"/>
      <c r="B865" s="125"/>
      <c r="C865" s="125"/>
      <c r="D865" s="126"/>
      <c r="E865" s="126"/>
      <c r="F865" s="127"/>
      <c r="G865" s="127"/>
      <c r="H865" s="128"/>
    </row>
    <row r="866" ht="22.5" customHeight="1">
      <c r="A866" s="125"/>
      <c r="B866" s="125"/>
      <c r="C866" s="125"/>
      <c r="D866" s="126"/>
      <c r="E866" s="126"/>
      <c r="F866" s="127"/>
      <c r="G866" s="127"/>
      <c r="H866" s="128"/>
    </row>
    <row r="867" ht="22.5" customHeight="1">
      <c r="A867" s="125"/>
      <c r="B867" s="125"/>
      <c r="C867" s="125"/>
      <c r="D867" s="126"/>
      <c r="E867" s="126"/>
      <c r="F867" s="127"/>
      <c r="G867" s="127"/>
      <c r="H867" s="128"/>
    </row>
    <row r="868" ht="22.5" customHeight="1">
      <c r="A868" s="125"/>
      <c r="B868" s="125"/>
      <c r="C868" s="125"/>
      <c r="D868" s="126"/>
      <c r="E868" s="126"/>
      <c r="F868" s="127"/>
      <c r="G868" s="127"/>
      <c r="H868" s="128"/>
    </row>
    <row r="869" ht="22.5" customHeight="1">
      <c r="A869" s="125"/>
      <c r="B869" s="125"/>
      <c r="C869" s="125"/>
      <c r="D869" s="126"/>
      <c r="E869" s="126"/>
      <c r="F869" s="127"/>
      <c r="G869" s="127"/>
      <c r="H869" s="128"/>
    </row>
    <row r="870" ht="22.5" customHeight="1">
      <c r="A870" s="125"/>
      <c r="B870" s="125"/>
      <c r="C870" s="125"/>
      <c r="D870" s="126"/>
      <c r="E870" s="126"/>
      <c r="F870" s="127"/>
      <c r="G870" s="127"/>
      <c r="H870" s="128"/>
    </row>
    <row r="871" ht="22.5" customHeight="1">
      <c r="A871" s="125"/>
      <c r="B871" s="125"/>
      <c r="C871" s="125"/>
      <c r="D871" s="126"/>
      <c r="E871" s="126"/>
      <c r="F871" s="127"/>
      <c r="G871" s="127"/>
      <c r="H871" s="128"/>
    </row>
    <row r="872" ht="22.5" customHeight="1">
      <c r="A872" s="125"/>
      <c r="B872" s="125"/>
      <c r="C872" s="125"/>
      <c r="D872" s="126"/>
      <c r="E872" s="126"/>
      <c r="F872" s="127"/>
      <c r="G872" s="127"/>
      <c r="H872" s="128"/>
    </row>
    <row r="873" ht="22.5" customHeight="1">
      <c r="A873" s="125"/>
      <c r="B873" s="125"/>
      <c r="C873" s="125"/>
      <c r="D873" s="126"/>
      <c r="E873" s="126"/>
      <c r="F873" s="127"/>
      <c r="G873" s="127"/>
      <c r="H873" s="128"/>
    </row>
    <row r="874" ht="22.5" customHeight="1">
      <c r="A874" s="125"/>
      <c r="B874" s="125"/>
      <c r="C874" s="125"/>
      <c r="D874" s="126"/>
      <c r="E874" s="126"/>
      <c r="F874" s="127"/>
      <c r="G874" s="127"/>
      <c r="H874" s="128"/>
    </row>
    <row r="875" ht="22.5" customHeight="1">
      <c r="A875" s="125"/>
      <c r="B875" s="125"/>
      <c r="C875" s="125"/>
      <c r="D875" s="126"/>
      <c r="E875" s="126"/>
      <c r="F875" s="127"/>
      <c r="G875" s="127"/>
      <c r="H875" s="128"/>
    </row>
    <row r="876" ht="22.5" customHeight="1">
      <c r="A876" s="125"/>
      <c r="B876" s="125"/>
      <c r="C876" s="125"/>
      <c r="D876" s="126"/>
      <c r="E876" s="126"/>
      <c r="F876" s="127"/>
      <c r="G876" s="127"/>
      <c r="H876" s="128"/>
    </row>
    <row r="877" ht="22.5" customHeight="1">
      <c r="A877" s="125"/>
      <c r="B877" s="125"/>
      <c r="C877" s="125"/>
      <c r="D877" s="126"/>
      <c r="E877" s="126"/>
      <c r="F877" s="127"/>
      <c r="G877" s="127"/>
      <c r="H877" s="128"/>
    </row>
    <row r="878" ht="22.5" customHeight="1">
      <c r="A878" s="125"/>
      <c r="B878" s="125"/>
      <c r="C878" s="125"/>
      <c r="D878" s="126"/>
      <c r="E878" s="126"/>
      <c r="F878" s="127"/>
      <c r="G878" s="127"/>
      <c r="H878" s="128"/>
    </row>
    <row r="879" ht="22.5" customHeight="1">
      <c r="A879" s="125"/>
      <c r="B879" s="125"/>
      <c r="C879" s="125"/>
      <c r="D879" s="126"/>
      <c r="E879" s="126"/>
      <c r="F879" s="127"/>
      <c r="G879" s="127"/>
      <c r="H879" s="128"/>
    </row>
    <row r="880" ht="22.5" customHeight="1">
      <c r="A880" s="125"/>
      <c r="B880" s="125"/>
      <c r="C880" s="125"/>
      <c r="D880" s="126"/>
      <c r="E880" s="126"/>
      <c r="F880" s="127"/>
      <c r="G880" s="127"/>
      <c r="H880" s="128"/>
    </row>
    <row r="881" ht="22.5" customHeight="1">
      <c r="A881" s="125"/>
      <c r="B881" s="125"/>
      <c r="C881" s="125"/>
      <c r="D881" s="126"/>
      <c r="E881" s="126"/>
      <c r="F881" s="127"/>
      <c r="G881" s="127"/>
      <c r="H881" s="128"/>
    </row>
    <row r="882" ht="22.5" customHeight="1">
      <c r="A882" s="125"/>
      <c r="B882" s="125"/>
      <c r="C882" s="125"/>
      <c r="D882" s="126"/>
      <c r="E882" s="126"/>
      <c r="F882" s="127"/>
      <c r="G882" s="127"/>
      <c r="H882" s="128"/>
    </row>
    <row r="883" ht="22.5" customHeight="1">
      <c r="A883" s="125"/>
      <c r="B883" s="125"/>
      <c r="C883" s="125"/>
      <c r="D883" s="126"/>
      <c r="E883" s="126"/>
      <c r="F883" s="127"/>
      <c r="G883" s="127"/>
      <c r="H883" s="128"/>
    </row>
    <row r="884" ht="22.5" customHeight="1">
      <c r="A884" s="125"/>
      <c r="B884" s="125"/>
      <c r="C884" s="125"/>
      <c r="D884" s="126"/>
      <c r="E884" s="126"/>
      <c r="F884" s="127"/>
      <c r="G884" s="127"/>
      <c r="H884" s="128"/>
    </row>
    <row r="885" ht="22.5" customHeight="1">
      <c r="A885" s="125"/>
      <c r="B885" s="125"/>
      <c r="C885" s="125"/>
      <c r="D885" s="126"/>
      <c r="E885" s="126"/>
      <c r="F885" s="127"/>
      <c r="G885" s="127"/>
      <c r="H885" s="128"/>
    </row>
    <row r="886" ht="22.5" customHeight="1">
      <c r="A886" s="125"/>
      <c r="B886" s="125"/>
      <c r="C886" s="125"/>
      <c r="D886" s="126"/>
      <c r="E886" s="126"/>
      <c r="F886" s="127"/>
      <c r="G886" s="127"/>
      <c r="H886" s="128"/>
    </row>
    <row r="887" ht="22.5" customHeight="1">
      <c r="A887" s="125"/>
      <c r="B887" s="125"/>
      <c r="C887" s="125"/>
      <c r="D887" s="126"/>
      <c r="E887" s="126"/>
      <c r="F887" s="127"/>
      <c r="G887" s="127"/>
      <c r="H887" s="128"/>
    </row>
    <row r="888" ht="22.5" customHeight="1">
      <c r="A888" s="125"/>
      <c r="B888" s="125"/>
      <c r="C888" s="125"/>
      <c r="D888" s="126"/>
      <c r="E888" s="126"/>
      <c r="F888" s="127"/>
      <c r="G888" s="127"/>
      <c r="H888" s="128"/>
    </row>
    <row r="889" ht="22.5" customHeight="1">
      <c r="A889" s="125"/>
      <c r="B889" s="125"/>
      <c r="C889" s="125"/>
      <c r="D889" s="126"/>
      <c r="E889" s="126"/>
      <c r="F889" s="127"/>
      <c r="G889" s="127"/>
      <c r="H889" s="128"/>
    </row>
    <row r="890" ht="22.5" customHeight="1">
      <c r="A890" s="125"/>
      <c r="B890" s="125"/>
      <c r="C890" s="125"/>
      <c r="D890" s="126"/>
      <c r="E890" s="126"/>
      <c r="F890" s="127"/>
      <c r="G890" s="127"/>
      <c r="H890" s="128"/>
    </row>
    <row r="891" ht="22.5" customHeight="1">
      <c r="A891" s="125"/>
      <c r="B891" s="125"/>
      <c r="C891" s="125"/>
      <c r="D891" s="126"/>
      <c r="E891" s="126"/>
      <c r="F891" s="127"/>
      <c r="G891" s="127"/>
      <c r="H891" s="128"/>
    </row>
    <row r="892" ht="22.5" customHeight="1">
      <c r="A892" s="125"/>
      <c r="B892" s="125"/>
      <c r="C892" s="125"/>
      <c r="D892" s="126"/>
      <c r="E892" s="126"/>
      <c r="F892" s="127"/>
      <c r="G892" s="127"/>
      <c r="H892" s="128"/>
    </row>
    <row r="893" ht="22.5" customHeight="1">
      <c r="A893" s="125"/>
      <c r="B893" s="125"/>
      <c r="C893" s="125"/>
      <c r="D893" s="126"/>
      <c r="E893" s="126"/>
      <c r="F893" s="127"/>
      <c r="G893" s="127"/>
      <c r="H893" s="128"/>
    </row>
    <row r="894" ht="22.5" customHeight="1">
      <c r="A894" s="125"/>
      <c r="B894" s="125"/>
      <c r="C894" s="125"/>
      <c r="D894" s="126"/>
      <c r="E894" s="126"/>
      <c r="F894" s="127"/>
      <c r="G894" s="127"/>
      <c r="H894" s="128"/>
    </row>
    <row r="895" ht="22.5" customHeight="1">
      <c r="A895" s="125"/>
      <c r="B895" s="125"/>
      <c r="C895" s="125"/>
      <c r="D895" s="126"/>
      <c r="E895" s="126"/>
      <c r="F895" s="127"/>
      <c r="G895" s="127"/>
      <c r="H895" s="128"/>
    </row>
    <row r="896" ht="22.5" customHeight="1">
      <c r="A896" s="125"/>
      <c r="B896" s="125"/>
      <c r="C896" s="125"/>
      <c r="D896" s="126"/>
      <c r="E896" s="126"/>
      <c r="F896" s="127"/>
      <c r="G896" s="127"/>
      <c r="H896" s="128"/>
    </row>
    <row r="897" ht="22.5" customHeight="1">
      <c r="A897" s="125"/>
      <c r="B897" s="125"/>
      <c r="C897" s="125"/>
      <c r="D897" s="126"/>
      <c r="E897" s="126"/>
      <c r="F897" s="127"/>
      <c r="G897" s="127"/>
      <c r="H897" s="128"/>
    </row>
    <row r="898" ht="22.5" customHeight="1">
      <c r="A898" s="125"/>
      <c r="B898" s="125"/>
      <c r="C898" s="125"/>
      <c r="D898" s="126"/>
      <c r="E898" s="126"/>
      <c r="F898" s="127"/>
      <c r="G898" s="127"/>
      <c r="H898" s="128"/>
    </row>
    <row r="899" ht="22.5" customHeight="1">
      <c r="A899" s="125"/>
      <c r="B899" s="125"/>
      <c r="C899" s="125"/>
      <c r="D899" s="126"/>
      <c r="E899" s="126"/>
      <c r="F899" s="127"/>
      <c r="G899" s="127"/>
      <c r="H899" s="128"/>
    </row>
    <row r="900" ht="22.5" customHeight="1">
      <c r="A900" s="125"/>
      <c r="B900" s="125"/>
      <c r="C900" s="125"/>
      <c r="D900" s="126"/>
      <c r="E900" s="126"/>
      <c r="F900" s="127"/>
      <c r="G900" s="127"/>
      <c r="H900" s="128"/>
    </row>
    <row r="901" ht="22.5" customHeight="1">
      <c r="A901" s="125"/>
      <c r="B901" s="125"/>
      <c r="C901" s="125"/>
      <c r="D901" s="126"/>
      <c r="E901" s="126"/>
      <c r="F901" s="127"/>
      <c r="G901" s="127"/>
      <c r="H901" s="128"/>
    </row>
    <row r="902" ht="22.5" customHeight="1">
      <c r="A902" s="125"/>
      <c r="B902" s="125"/>
      <c r="C902" s="125"/>
      <c r="D902" s="126"/>
      <c r="E902" s="126"/>
      <c r="F902" s="127"/>
      <c r="G902" s="127"/>
      <c r="H902" s="128"/>
    </row>
    <row r="903" ht="22.5" customHeight="1">
      <c r="A903" s="125"/>
      <c r="B903" s="125"/>
      <c r="C903" s="125"/>
      <c r="D903" s="126"/>
      <c r="E903" s="126"/>
      <c r="F903" s="127"/>
      <c r="G903" s="127"/>
      <c r="H903" s="128"/>
    </row>
    <row r="904" ht="22.5" customHeight="1">
      <c r="A904" s="125"/>
      <c r="B904" s="125"/>
      <c r="C904" s="125"/>
      <c r="D904" s="126"/>
      <c r="E904" s="126"/>
      <c r="F904" s="127"/>
      <c r="G904" s="127"/>
      <c r="H904" s="128"/>
    </row>
    <row r="905" ht="22.5" customHeight="1">
      <c r="A905" s="125"/>
      <c r="B905" s="125"/>
      <c r="C905" s="125"/>
      <c r="D905" s="126"/>
      <c r="E905" s="126"/>
      <c r="F905" s="127"/>
      <c r="G905" s="127"/>
      <c r="H905" s="128"/>
    </row>
    <row r="906" ht="22.5" customHeight="1">
      <c r="A906" s="125"/>
      <c r="B906" s="125"/>
      <c r="C906" s="125"/>
      <c r="D906" s="126"/>
      <c r="E906" s="126"/>
      <c r="F906" s="127"/>
      <c r="G906" s="127"/>
      <c r="H906" s="128"/>
    </row>
    <row r="907" ht="22.5" customHeight="1">
      <c r="A907" s="125"/>
      <c r="B907" s="125"/>
      <c r="C907" s="125"/>
      <c r="D907" s="126"/>
      <c r="E907" s="126"/>
      <c r="F907" s="127"/>
      <c r="G907" s="127"/>
      <c r="H907" s="128"/>
    </row>
    <row r="908" ht="22.5" customHeight="1">
      <c r="A908" s="125"/>
      <c r="B908" s="125"/>
      <c r="C908" s="125"/>
      <c r="D908" s="126"/>
      <c r="E908" s="126"/>
      <c r="F908" s="127"/>
      <c r="G908" s="127"/>
      <c r="H908" s="128"/>
    </row>
    <row r="909" ht="22.5" customHeight="1">
      <c r="A909" s="125"/>
      <c r="B909" s="125"/>
      <c r="C909" s="125"/>
      <c r="D909" s="126"/>
      <c r="E909" s="126"/>
      <c r="F909" s="127"/>
      <c r="G909" s="127"/>
      <c r="H909" s="128"/>
    </row>
    <row r="910" ht="22.5" customHeight="1">
      <c r="A910" s="125"/>
      <c r="B910" s="125"/>
      <c r="C910" s="125"/>
      <c r="D910" s="126"/>
      <c r="E910" s="126"/>
      <c r="F910" s="127"/>
      <c r="G910" s="127"/>
      <c r="H910" s="128"/>
    </row>
    <row r="911" ht="22.5" customHeight="1">
      <c r="A911" s="125"/>
      <c r="B911" s="125"/>
      <c r="C911" s="125"/>
      <c r="D911" s="126"/>
      <c r="E911" s="126"/>
      <c r="F911" s="127"/>
      <c r="G911" s="127"/>
      <c r="H911" s="128"/>
    </row>
    <row r="912" ht="22.5" customHeight="1">
      <c r="A912" s="125"/>
      <c r="B912" s="125"/>
      <c r="C912" s="125"/>
      <c r="D912" s="126"/>
      <c r="E912" s="126"/>
      <c r="F912" s="127"/>
      <c r="G912" s="127"/>
      <c r="H912" s="128"/>
    </row>
    <row r="913" ht="22.5" customHeight="1">
      <c r="A913" s="125"/>
      <c r="B913" s="125"/>
      <c r="C913" s="125"/>
      <c r="D913" s="126"/>
      <c r="E913" s="126"/>
      <c r="F913" s="127"/>
      <c r="G913" s="127"/>
      <c r="H913" s="128"/>
    </row>
    <row r="914" ht="22.5" customHeight="1">
      <c r="A914" s="125"/>
      <c r="B914" s="125"/>
      <c r="C914" s="125"/>
      <c r="D914" s="126"/>
      <c r="E914" s="126"/>
      <c r="F914" s="127"/>
      <c r="G914" s="127"/>
      <c r="H914" s="128"/>
    </row>
    <row r="915" ht="22.5" customHeight="1">
      <c r="A915" s="125"/>
      <c r="B915" s="125"/>
      <c r="C915" s="125"/>
      <c r="D915" s="126"/>
      <c r="E915" s="126"/>
      <c r="F915" s="127"/>
      <c r="G915" s="127"/>
      <c r="H915" s="128"/>
    </row>
    <row r="916" ht="22.5" customHeight="1">
      <c r="A916" s="125"/>
      <c r="B916" s="125"/>
      <c r="C916" s="125"/>
      <c r="D916" s="126"/>
      <c r="E916" s="126"/>
      <c r="F916" s="127"/>
      <c r="G916" s="127"/>
      <c r="H916" s="128"/>
    </row>
    <row r="917" ht="22.5" customHeight="1">
      <c r="A917" s="125"/>
      <c r="B917" s="125"/>
      <c r="C917" s="125"/>
      <c r="D917" s="126"/>
      <c r="E917" s="126"/>
      <c r="F917" s="127"/>
      <c r="G917" s="127"/>
      <c r="H917" s="128"/>
    </row>
    <row r="918" ht="22.5" customHeight="1">
      <c r="A918" s="125"/>
      <c r="B918" s="125"/>
      <c r="C918" s="125"/>
      <c r="D918" s="126"/>
      <c r="E918" s="126"/>
      <c r="F918" s="127"/>
      <c r="G918" s="127"/>
      <c r="H918" s="128"/>
    </row>
    <row r="919" ht="22.5" customHeight="1">
      <c r="A919" s="125"/>
      <c r="B919" s="125"/>
      <c r="C919" s="125"/>
      <c r="D919" s="126"/>
      <c r="E919" s="126"/>
      <c r="F919" s="127"/>
      <c r="G919" s="127"/>
      <c r="H919" s="128"/>
    </row>
    <row r="920" ht="22.5" customHeight="1">
      <c r="A920" s="125"/>
      <c r="B920" s="125"/>
      <c r="C920" s="125"/>
      <c r="D920" s="126"/>
      <c r="E920" s="126"/>
      <c r="F920" s="127"/>
      <c r="G920" s="127"/>
      <c r="H920" s="128"/>
    </row>
    <row r="921" ht="22.5" customHeight="1">
      <c r="A921" s="125"/>
      <c r="B921" s="125"/>
      <c r="C921" s="125"/>
      <c r="D921" s="126"/>
      <c r="E921" s="126"/>
      <c r="F921" s="127"/>
      <c r="G921" s="127"/>
      <c r="H921" s="128"/>
    </row>
    <row r="922" ht="22.5" customHeight="1">
      <c r="A922" s="125"/>
      <c r="B922" s="125"/>
      <c r="C922" s="125"/>
      <c r="D922" s="126"/>
      <c r="E922" s="126"/>
      <c r="F922" s="127"/>
      <c r="G922" s="127"/>
      <c r="H922" s="128"/>
    </row>
    <row r="923" ht="22.5" customHeight="1">
      <c r="A923" s="125"/>
      <c r="B923" s="125"/>
      <c r="C923" s="125"/>
      <c r="D923" s="126"/>
      <c r="E923" s="126"/>
      <c r="F923" s="127"/>
      <c r="G923" s="127"/>
      <c r="H923" s="128"/>
    </row>
    <row r="924" ht="22.5" customHeight="1">
      <c r="A924" s="125"/>
      <c r="B924" s="125"/>
      <c r="C924" s="125"/>
      <c r="D924" s="126"/>
      <c r="E924" s="126"/>
      <c r="F924" s="127"/>
      <c r="G924" s="127"/>
      <c r="H924" s="128"/>
    </row>
    <row r="925" ht="22.5" customHeight="1">
      <c r="A925" s="125"/>
      <c r="B925" s="125"/>
      <c r="C925" s="125"/>
      <c r="D925" s="126"/>
      <c r="E925" s="126"/>
      <c r="F925" s="127"/>
      <c r="G925" s="127"/>
      <c r="H925" s="128"/>
    </row>
    <row r="926" ht="22.5" customHeight="1">
      <c r="A926" s="125"/>
      <c r="B926" s="125"/>
      <c r="C926" s="125"/>
      <c r="D926" s="126"/>
      <c r="E926" s="126"/>
      <c r="F926" s="127"/>
      <c r="G926" s="127"/>
      <c r="H926" s="128"/>
    </row>
    <row r="927" ht="22.5" customHeight="1">
      <c r="A927" s="125"/>
      <c r="B927" s="125"/>
      <c r="C927" s="125"/>
      <c r="D927" s="126"/>
      <c r="E927" s="126"/>
      <c r="F927" s="127"/>
      <c r="G927" s="127"/>
      <c r="H927" s="128"/>
    </row>
    <row r="928" ht="22.5" customHeight="1">
      <c r="A928" s="125"/>
      <c r="B928" s="125"/>
      <c r="C928" s="125"/>
      <c r="D928" s="126"/>
      <c r="E928" s="126"/>
      <c r="F928" s="127"/>
      <c r="G928" s="127"/>
      <c r="H928" s="128"/>
    </row>
    <row r="929" ht="22.5" customHeight="1">
      <c r="A929" s="125"/>
      <c r="B929" s="125"/>
      <c r="C929" s="125"/>
      <c r="D929" s="126"/>
      <c r="E929" s="126"/>
      <c r="F929" s="127"/>
      <c r="G929" s="127"/>
      <c r="H929" s="128"/>
    </row>
    <row r="930" ht="22.5" customHeight="1">
      <c r="A930" s="125"/>
      <c r="B930" s="125"/>
      <c r="C930" s="125"/>
      <c r="D930" s="126"/>
      <c r="E930" s="126"/>
      <c r="F930" s="127"/>
      <c r="G930" s="127"/>
      <c r="H930" s="128"/>
    </row>
    <row r="931" ht="22.5" customHeight="1">
      <c r="A931" s="125"/>
      <c r="B931" s="125"/>
      <c r="C931" s="125"/>
      <c r="D931" s="126"/>
      <c r="E931" s="126"/>
      <c r="F931" s="127"/>
      <c r="G931" s="127"/>
      <c r="H931" s="128"/>
    </row>
    <row r="932" ht="22.5" customHeight="1">
      <c r="A932" s="125"/>
      <c r="B932" s="125"/>
      <c r="C932" s="125"/>
      <c r="D932" s="126"/>
      <c r="E932" s="126"/>
      <c r="F932" s="127"/>
      <c r="G932" s="127"/>
      <c r="H932" s="128"/>
    </row>
    <row r="933" ht="22.5" customHeight="1">
      <c r="A933" s="125"/>
      <c r="B933" s="125"/>
      <c r="C933" s="125"/>
      <c r="D933" s="126"/>
      <c r="E933" s="126"/>
      <c r="F933" s="127"/>
      <c r="G933" s="127"/>
      <c r="H933" s="128"/>
    </row>
    <row r="934" ht="22.5" customHeight="1">
      <c r="A934" s="125"/>
      <c r="B934" s="125"/>
      <c r="C934" s="125"/>
      <c r="D934" s="126"/>
      <c r="E934" s="126"/>
      <c r="F934" s="127"/>
      <c r="G934" s="127"/>
      <c r="H934" s="128"/>
    </row>
    <row r="935" ht="22.5" customHeight="1">
      <c r="A935" s="125"/>
      <c r="B935" s="125"/>
      <c r="C935" s="125"/>
      <c r="D935" s="126"/>
      <c r="E935" s="126"/>
      <c r="F935" s="127"/>
      <c r="G935" s="127"/>
      <c r="H935" s="128"/>
    </row>
    <row r="936" ht="22.5" customHeight="1">
      <c r="A936" s="125"/>
      <c r="B936" s="125"/>
      <c r="C936" s="125"/>
      <c r="D936" s="126"/>
      <c r="E936" s="126"/>
      <c r="F936" s="127"/>
      <c r="G936" s="127"/>
      <c r="H936" s="128"/>
    </row>
    <row r="937" ht="22.5" customHeight="1">
      <c r="A937" s="125"/>
      <c r="B937" s="125"/>
      <c r="C937" s="125"/>
      <c r="D937" s="126"/>
      <c r="E937" s="126"/>
      <c r="F937" s="127"/>
      <c r="G937" s="127"/>
      <c r="H937" s="128"/>
    </row>
    <row r="938" ht="22.5" customHeight="1">
      <c r="A938" s="125"/>
      <c r="B938" s="125"/>
      <c r="C938" s="125"/>
      <c r="D938" s="126"/>
      <c r="E938" s="126"/>
      <c r="F938" s="127"/>
      <c r="G938" s="127"/>
      <c r="H938" s="128"/>
    </row>
    <row r="939" ht="22.5" customHeight="1">
      <c r="A939" s="125"/>
      <c r="B939" s="125"/>
      <c r="C939" s="125"/>
      <c r="D939" s="126"/>
      <c r="E939" s="126"/>
      <c r="F939" s="127"/>
      <c r="G939" s="127"/>
      <c r="H939" s="128"/>
    </row>
    <row r="940" ht="22.5" customHeight="1">
      <c r="A940" s="125"/>
      <c r="B940" s="125"/>
      <c r="C940" s="125"/>
      <c r="D940" s="126"/>
      <c r="E940" s="126"/>
      <c r="F940" s="127"/>
      <c r="G940" s="127"/>
      <c r="H940" s="128"/>
    </row>
    <row r="941" ht="22.5" customHeight="1">
      <c r="A941" s="125"/>
      <c r="B941" s="125"/>
      <c r="C941" s="125"/>
      <c r="D941" s="126"/>
      <c r="E941" s="126"/>
      <c r="F941" s="127"/>
      <c r="G941" s="127"/>
      <c r="H941" s="128"/>
    </row>
    <row r="942" ht="22.5" customHeight="1">
      <c r="A942" s="125"/>
      <c r="B942" s="125"/>
      <c r="C942" s="125"/>
      <c r="D942" s="126"/>
      <c r="E942" s="126"/>
      <c r="F942" s="127"/>
      <c r="G942" s="127"/>
      <c r="H942" s="128"/>
    </row>
    <row r="943" ht="22.5" customHeight="1">
      <c r="A943" s="125"/>
      <c r="B943" s="125"/>
      <c r="C943" s="125"/>
      <c r="D943" s="126"/>
      <c r="E943" s="126"/>
      <c r="F943" s="127"/>
      <c r="G943" s="127"/>
      <c r="H943" s="128"/>
    </row>
    <row r="944" ht="22.5" customHeight="1">
      <c r="A944" s="125"/>
      <c r="B944" s="125"/>
      <c r="C944" s="125"/>
      <c r="D944" s="126"/>
      <c r="E944" s="126"/>
      <c r="F944" s="127"/>
      <c r="G944" s="127"/>
      <c r="H944" s="128"/>
    </row>
    <row r="945" ht="22.5" customHeight="1">
      <c r="A945" s="125"/>
      <c r="B945" s="125"/>
      <c r="C945" s="125"/>
      <c r="D945" s="126"/>
      <c r="E945" s="126"/>
      <c r="F945" s="127"/>
      <c r="G945" s="127"/>
      <c r="H945" s="128"/>
    </row>
    <row r="946" ht="22.5" customHeight="1">
      <c r="A946" s="125"/>
      <c r="B946" s="125"/>
      <c r="C946" s="125"/>
      <c r="D946" s="126"/>
      <c r="E946" s="126"/>
      <c r="F946" s="127"/>
      <c r="G946" s="127"/>
      <c r="H946" s="128"/>
    </row>
    <row r="947" ht="22.5" customHeight="1">
      <c r="A947" s="125"/>
      <c r="B947" s="125"/>
      <c r="C947" s="125"/>
      <c r="D947" s="126"/>
      <c r="E947" s="126"/>
      <c r="F947" s="127"/>
      <c r="G947" s="127"/>
      <c r="H947" s="128"/>
    </row>
    <row r="948" ht="22.5" customHeight="1">
      <c r="A948" s="125"/>
      <c r="B948" s="125"/>
      <c r="C948" s="125"/>
      <c r="D948" s="126"/>
      <c r="E948" s="126"/>
      <c r="F948" s="127"/>
      <c r="G948" s="127"/>
      <c r="H948" s="128"/>
    </row>
    <row r="949" ht="22.5" customHeight="1">
      <c r="A949" s="125"/>
      <c r="B949" s="125"/>
      <c r="C949" s="125"/>
      <c r="D949" s="126"/>
      <c r="E949" s="126"/>
      <c r="F949" s="127"/>
      <c r="G949" s="127"/>
      <c r="H949" s="128"/>
    </row>
    <row r="950" ht="22.5" customHeight="1">
      <c r="A950" s="125"/>
      <c r="B950" s="125"/>
      <c r="C950" s="125"/>
      <c r="D950" s="126"/>
      <c r="E950" s="126"/>
      <c r="F950" s="127"/>
      <c r="G950" s="127"/>
      <c r="H950" s="128"/>
    </row>
    <row r="951" ht="22.5" customHeight="1">
      <c r="A951" s="125"/>
      <c r="B951" s="125"/>
      <c r="C951" s="125"/>
      <c r="D951" s="126"/>
      <c r="E951" s="126"/>
      <c r="F951" s="127"/>
      <c r="G951" s="127"/>
      <c r="H951" s="128"/>
    </row>
    <row r="952" ht="22.5" customHeight="1">
      <c r="A952" s="125"/>
      <c r="B952" s="125"/>
      <c r="C952" s="125"/>
      <c r="D952" s="126"/>
      <c r="E952" s="126"/>
      <c r="F952" s="127"/>
      <c r="G952" s="127"/>
      <c r="H952" s="128"/>
    </row>
    <row r="953" ht="22.5" customHeight="1">
      <c r="A953" s="125"/>
      <c r="B953" s="125"/>
      <c r="C953" s="125"/>
      <c r="D953" s="126"/>
      <c r="E953" s="126"/>
      <c r="F953" s="127"/>
      <c r="G953" s="127"/>
      <c r="H953" s="128"/>
    </row>
    <row r="954" ht="22.5" customHeight="1">
      <c r="A954" s="125"/>
      <c r="B954" s="125"/>
      <c r="C954" s="125"/>
      <c r="D954" s="126"/>
      <c r="E954" s="126"/>
      <c r="F954" s="127"/>
      <c r="G954" s="127"/>
      <c r="H954" s="128"/>
    </row>
    <row r="955" ht="22.5" customHeight="1">
      <c r="A955" s="125"/>
      <c r="B955" s="125"/>
      <c r="C955" s="125"/>
      <c r="D955" s="126"/>
      <c r="E955" s="126"/>
      <c r="F955" s="127"/>
      <c r="G955" s="127"/>
      <c r="H955" s="128"/>
    </row>
    <row r="956" ht="22.5" customHeight="1">
      <c r="A956" s="125"/>
      <c r="B956" s="125"/>
      <c r="C956" s="125"/>
      <c r="D956" s="126"/>
      <c r="E956" s="126"/>
      <c r="F956" s="127"/>
      <c r="G956" s="127"/>
      <c r="H956" s="128"/>
    </row>
    <row r="957" ht="22.5" customHeight="1">
      <c r="A957" s="125"/>
      <c r="B957" s="125"/>
      <c r="C957" s="125"/>
      <c r="D957" s="126"/>
      <c r="E957" s="126"/>
      <c r="F957" s="127"/>
      <c r="G957" s="127"/>
      <c r="H957" s="128"/>
    </row>
    <row r="958" ht="22.5" customHeight="1">
      <c r="A958" s="125"/>
      <c r="B958" s="125"/>
      <c r="C958" s="125"/>
      <c r="D958" s="126"/>
      <c r="E958" s="126"/>
      <c r="F958" s="127"/>
      <c r="G958" s="127"/>
      <c r="H958" s="128"/>
    </row>
    <row r="959" ht="22.5" customHeight="1">
      <c r="A959" s="125"/>
      <c r="B959" s="125"/>
      <c r="C959" s="125"/>
      <c r="D959" s="126"/>
      <c r="E959" s="126"/>
      <c r="F959" s="127"/>
      <c r="G959" s="127"/>
      <c r="H959" s="128"/>
    </row>
    <row r="960" ht="22.5" customHeight="1">
      <c r="A960" s="125"/>
      <c r="B960" s="125"/>
      <c r="C960" s="125"/>
      <c r="D960" s="126"/>
      <c r="E960" s="126"/>
      <c r="F960" s="127"/>
      <c r="G960" s="127"/>
      <c r="H960" s="128"/>
    </row>
    <row r="961" ht="22.5" customHeight="1">
      <c r="A961" s="125"/>
      <c r="B961" s="125"/>
      <c r="C961" s="125"/>
      <c r="D961" s="126"/>
      <c r="E961" s="126"/>
      <c r="F961" s="127"/>
      <c r="G961" s="127"/>
      <c r="H961" s="128"/>
    </row>
    <row r="962" ht="22.5" customHeight="1">
      <c r="A962" s="125"/>
      <c r="B962" s="125"/>
      <c r="C962" s="125"/>
      <c r="D962" s="126"/>
      <c r="E962" s="126"/>
      <c r="F962" s="127"/>
      <c r="G962" s="127"/>
      <c r="H962" s="128"/>
    </row>
    <row r="963" ht="22.5" customHeight="1">
      <c r="A963" s="125"/>
      <c r="B963" s="125"/>
      <c r="C963" s="125"/>
      <c r="D963" s="126"/>
      <c r="E963" s="126"/>
      <c r="F963" s="127"/>
      <c r="G963" s="127"/>
      <c r="H963" s="128"/>
    </row>
    <row r="964" ht="22.5" customHeight="1">
      <c r="A964" s="125"/>
      <c r="B964" s="125"/>
      <c r="C964" s="125"/>
      <c r="D964" s="126"/>
      <c r="E964" s="126"/>
      <c r="F964" s="127"/>
      <c r="G964" s="127"/>
      <c r="H964" s="128"/>
    </row>
    <row r="965" ht="22.5" customHeight="1">
      <c r="A965" s="125"/>
      <c r="B965" s="125"/>
      <c r="C965" s="125"/>
      <c r="D965" s="126"/>
      <c r="E965" s="126"/>
      <c r="F965" s="127"/>
      <c r="G965" s="127"/>
      <c r="H965" s="128"/>
    </row>
    <row r="966" ht="22.5" customHeight="1">
      <c r="A966" s="125"/>
      <c r="B966" s="125"/>
      <c r="C966" s="125"/>
      <c r="D966" s="126"/>
      <c r="E966" s="126"/>
      <c r="F966" s="127"/>
      <c r="G966" s="127"/>
      <c r="H966" s="128"/>
    </row>
    <row r="967" ht="22.5" customHeight="1">
      <c r="A967" s="125"/>
      <c r="B967" s="125"/>
      <c r="C967" s="125"/>
      <c r="D967" s="126"/>
      <c r="E967" s="126"/>
      <c r="F967" s="127"/>
      <c r="G967" s="127"/>
      <c r="H967" s="128"/>
    </row>
    <row r="968" ht="22.5" customHeight="1">
      <c r="A968" s="125"/>
      <c r="B968" s="125"/>
      <c r="C968" s="125"/>
      <c r="D968" s="126"/>
      <c r="E968" s="126"/>
      <c r="F968" s="127"/>
      <c r="G968" s="127"/>
      <c r="H968" s="128"/>
    </row>
    <row r="969" ht="22.5" customHeight="1">
      <c r="A969" s="125"/>
      <c r="B969" s="125"/>
      <c r="C969" s="125"/>
      <c r="D969" s="126"/>
      <c r="E969" s="126"/>
      <c r="F969" s="127"/>
      <c r="G969" s="127"/>
      <c r="H969" s="128"/>
    </row>
    <row r="970" ht="22.5" customHeight="1">
      <c r="A970" s="125"/>
      <c r="B970" s="125"/>
      <c r="C970" s="125"/>
      <c r="D970" s="126"/>
      <c r="E970" s="126"/>
      <c r="F970" s="127"/>
      <c r="G970" s="127"/>
      <c r="H970" s="128"/>
    </row>
    <row r="971" ht="22.5" customHeight="1">
      <c r="A971" s="125"/>
      <c r="B971" s="125"/>
      <c r="C971" s="125"/>
      <c r="D971" s="126"/>
      <c r="E971" s="126"/>
      <c r="F971" s="127"/>
      <c r="G971" s="127"/>
      <c r="H971" s="128"/>
    </row>
    <row r="972" ht="22.5" customHeight="1">
      <c r="A972" s="125"/>
      <c r="B972" s="125"/>
      <c r="C972" s="125"/>
      <c r="D972" s="126"/>
      <c r="E972" s="126"/>
      <c r="F972" s="127"/>
      <c r="G972" s="127"/>
      <c r="H972" s="128"/>
    </row>
    <row r="973" ht="22.5" customHeight="1">
      <c r="A973" s="125"/>
      <c r="B973" s="125"/>
      <c r="C973" s="125"/>
      <c r="D973" s="126"/>
      <c r="E973" s="126"/>
      <c r="F973" s="127"/>
      <c r="G973" s="127"/>
      <c r="H973" s="128"/>
    </row>
    <row r="974" ht="22.5" customHeight="1">
      <c r="A974" s="125"/>
      <c r="B974" s="125"/>
      <c r="C974" s="125"/>
      <c r="D974" s="126"/>
      <c r="E974" s="126"/>
      <c r="F974" s="127"/>
      <c r="G974" s="127"/>
      <c r="H974" s="128"/>
    </row>
    <row r="975" ht="22.5" customHeight="1">
      <c r="A975" s="125"/>
      <c r="B975" s="125"/>
      <c r="C975" s="125"/>
      <c r="D975" s="126"/>
      <c r="E975" s="126"/>
      <c r="F975" s="127"/>
      <c r="G975" s="127"/>
      <c r="H975" s="128"/>
    </row>
    <row r="976" ht="22.5" customHeight="1">
      <c r="A976" s="125"/>
      <c r="B976" s="125"/>
      <c r="C976" s="125"/>
      <c r="D976" s="126"/>
      <c r="E976" s="126"/>
      <c r="F976" s="127"/>
      <c r="G976" s="127"/>
      <c r="H976" s="128"/>
    </row>
    <row r="977" ht="22.5" customHeight="1">
      <c r="A977" s="125"/>
      <c r="B977" s="125"/>
      <c r="C977" s="125"/>
      <c r="D977" s="126"/>
      <c r="E977" s="126"/>
      <c r="F977" s="127"/>
      <c r="G977" s="127"/>
      <c r="H977" s="128"/>
    </row>
    <row r="978" ht="22.5" customHeight="1">
      <c r="A978" s="125"/>
      <c r="B978" s="125"/>
      <c r="C978" s="125"/>
      <c r="D978" s="126"/>
      <c r="E978" s="126"/>
      <c r="F978" s="127"/>
      <c r="G978" s="127"/>
      <c r="H978" s="128"/>
    </row>
    <row r="979" ht="22.5" customHeight="1">
      <c r="A979" s="125"/>
      <c r="B979" s="125"/>
      <c r="C979" s="125"/>
      <c r="D979" s="126"/>
      <c r="E979" s="126"/>
      <c r="F979" s="127"/>
      <c r="G979" s="127"/>
      <c r="H979" s="128"/>
    </row>
    <row r="980" ht="22.5" customHeight="1">
      <c r="A980" s="125"/>
      <c r="B980" s="125"/>
      <c r="C980" s="125"/>
      <c r="D980" s="126"/>
      <c r="E980" s="126"/>
      <c r="F980" s="127"/>
      <c r="G980" s="127"/>
      <c r="H980" s="128"/>
    </row>
    <row r="981" ht="22.5" customHeight="1">
      <c r="A981" s="125"/>
      <c r="B981" s="125"/>
      <c r="C981" s="125"/>
      <c r="D981" s="126"/>
      <c r="E981" s="126"/>
      <c r="F981" s="127"/>
      <c r="G981" s="127"/>
      <c r="H981" s="128"/>
    </row>
    <row r="982" ht="22.5" customHeight="1">
      <c r="A982" s="125"/>
      <c r="B982" s="125"/>
      <c r="C982" s="125"/>
      <c r="D982" s="126"/>
      <c r="E982" s="126"/>
      <c r="F982" s="127"/>
      <c r="G982" s="127"/>
      <c r="H982" s="128"/>
    </row>
    <row r="983" ht="22.5" customHeight="1">
      <c r="A983" s="125"/>
      <c r="B983" s="125"/>
      <c r="C983" s="125"/>
      <c r="D983" s="126"/>
      <c r="E983" s="126"/>
      <c r="F983" s="127"/>
      <c r="G983" s="127"/>
      <c r="H983" s="128"/>
    </row>
    <row r="984" ht="22.5" customHeight="1">
      <c r="A984" s="125"/>
      <c r="B984" s="125"/>
      <c r="C984" s="125"/>
      <c r="D984" s="126"/>
      <c r="E984" s="126"/>
      <c r="F984" s="127"/>
      <c r="G984" s="127"/>
      <c r="H984" s="128"/>
    </row>
    <row r="985" ht="22.5" customHeight="1">
      <c r="A985" s="125"/>
      <c r="B985" s="125"/>
      <c r="C985" s="125"/>
      <c r="D985" s="126"/>
      <c r="E985" s="126"/>
      <c r="F985" s="127"/>
      <c r="G985" s="127"/>
      <c r="H985" s="128"/>
    </row>
    <row r="986" ht="22.5" customHeight="1">
      <c r="A986" s="125"/>
      <c r="B986" s="125"/>
      <c r="C986" s="125"/>
      <c r="D986" s="126"/>
      <c r="E986" s="126"/>
      <c r="F986" s="127"/>
      <c r="G986" s="127"/>
      <c r="H986" s="128"/>
    </row>
    <row r="987" ht="22.5" customHeight="1">
      <c r="A987" s="125"/>
      <c r="B987" s="125"/>
      <c r="C987" s="125"/>
      <c r="D987" s="126"/>
      <c r="E987" s="126"/>
      <c r="F987" s="127"/>
      <c r="G987" s="127"/>
      <c r="H987" s="128"/>
    </row>
    <row r="988" ht="22.5" customHeight="1">
      <c r="A988" s="125"/>
      <c r="B988" s="125"/>
      <c r="C988" s="125"/>
      <c r="D988" s="126"/>
      <c r="E988" s="126"/>
      <c r="F988" s="127"/>
      <c r="G988" s="127"/>
      <c r="H988" s="128"/>
    </row>
    <row r="989" ht="22.5" customHeight="1">
      <c r="A989" s="125"/>
      <c r="B989" s="125"/>
      <c r="C989" s="125"/>
      <c r="D989" s="126"/>
      <c r="E989" s="126"/>
      <c r="F989" s="127"/>
      <c r="G989" s="127"/>
      <c r="H989" s="128"/>
    </row>
    <row r="990" ht="22.5" customHeight="1">
      <c r="A990" s="125"/>
      <c r="B990" s="125"/>
      <c r="C990" s="125"/>
      <c r="D990" s="126"/>
      <c r="E990" s="126"/>
      <c r="F990" s="127"/>
      <c r="G990" s="127"/>
      <c r="H990" s="128"/>
    </row>
    <row r="991" ht="22.5" customHeight="1">
      <c r="A991" s="125"/>
      <c r="B991" s="125"/>
      <c r="C991" s="125"/>
      <c r="D991" s="126"/>
      <c r="E991" s="126"/>
      <c r="F991" s="127"/>
      <c r="G991" s="127"/>
      <c r="H991" s="128"/>
    </row>
    <row r="992" ht="22.5" customHeight="1">
      <c r="A992" s="125"/>
      <c r="B992" s="125"/>
      <c r="C992" s="125"/>
      <c r="D992" s="126"/>
      <c r="E992" s="126"/>
      <c r="F992" s="127"/>
      <c r="G992" s="127"/>
      <c r="H992" s="128"/>
    </row>
    <row r="993" ht="22.5" customHeight="1">
      <c r="A993" s="125"/>
      <c r="B993" s="125"/>
      <c r="C993" s="125"/>
      <c r="D993" s="126"/>
      <c r="E993" s="126"/>
      <c r="F993" s="127"/>
      <c r="G993" s="127"/>
      <c r="H993" s="128"/>
    </row>
    <row r="994" ht="22.5" customHeight="1">
      <c r="A994" s="125"/>
      <c r="B994" s="125"/>
      <c r="C994" s="125"/>
      <c r="D994" s="126"/>
      <c r="E994" s="126"/>
      <c r="F994" s="127"/>
      <c r="G994" s="127"/>
      <c r="H994" s="128"/>
    </row>
    <row r="995" ht="22.5" customHeight="1">
      <c r="A995" s="125"/>
      <c r="B995" s="125"/>
      <c r="C995" s="125"/>
      <c r="D995" s="126"/>
      <c r="E995" s="126"/>
      <c r="F995" s="127"/>
      <c r="G995" s="127"/>
      <c r="H995" s="128"/>
    </row>
    <row r="996" ht="22.5" customHeight="1">
      <c r="A996" s="125"/>
      <c r="B996" s="125"/>
      <c r="C996" s="125"/>
      <c r="D996" s="126"/>
      <c r="E996" s="126"/>
      <c r="F996" s="127"/>
      <c r="G996" s="127"/>
      <c r="H996" s="128"/>
    </row>
    <row r="997" ht="22.5" customHeight="1">
      <c r="A997" s="125"/>
      <c r="B997" s="125"/>
      <c r="C997" s="125"/>
      <c r="D997" s="126"/>
      <c r="E997" s="126"/>
      <c r="F997" s="127"/>
      <c r="G997" s="127"/>
      <c r="H997" s="128"/>
    </row>
    <row r="998" ht="22.5" customHeight="1">
      <c r="A998" s="125"/>
      <c r="B998" s="125"/>
      <c r="C998" s="125"/>
      <c r="D998" s="126"/>
      <c r="E998" s="126"/>
      <c r="F998" s="127"/>
      <c r="G998" s="127"/>
      <c r="H998" s="128"/>
    </row>
    <row r="999" ht="22.5" customHeight="1">
      <c r="A999" s="125"/>
      <c r="B999" s="125"/>
      <c r="C999" s="125"/>
      <c r="D999" s="126"/>
      <c r="E999" s="126"/>
      <c r="F999" s="127"/>
      <c r="G999" s="127"/>
      <c r="H999" s="128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</hyperlinks>
  <drawing r:id="rId395"/>
  <tableParts count="1">
    <tablePart r:id="rId397"/>
  </tableParts>
</worksheet>
</file>